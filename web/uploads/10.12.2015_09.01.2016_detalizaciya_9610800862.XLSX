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pn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45" yWindow="1110" windowWidth="28350" windowHeight="11115" tabRatio="316"/>
  </bookViews>
  <sheets>
    <sheet name="Отчёт" sheetId="2" r:id="rId1"/>
    <sheet name="Детализация" sheetId="1" r:id="rId2"/>
  </sheets>
  <definedNames>
    <definedName name="_xlnm._FilterDatabase" localSheetId="1" hidden="1">Детализация!$A$2:$L$2</definedName>
    <definedName name="_xlnm._FilterDatabase" localSheetId="0" hidden="1">Отчёт!$A$33:$B$33</definedName>
    <definedName name="callDetailHistorySummas">OFFSET(Отчёт!$B$33,1,0,31,1)</definedName>
    <definedName name="callDetailsHistoryHeaderLink">Отчёт!$B$33</definedName>
    <definedName name="callDetailsTableHeaderRange">Отчёт!$A$33:$B$33</definedName>
    <definedName name="coreAggregatorSummas">OFFSET(Отчёт!$C$17,1,0,13,1)</definedName>
    <definedName name="coreAggregatorValueTableHeaderLink">Отчёт!$C$17</definedName>
    <definedName name="detailsHistoryTableHeaderRange">Детализация!$A$2:$L$2</definedName>
    <definedName name="firstSheetLinkRange">Отчёт!$A$66:Отчёт!$F$66</definedName>
    <definedName name="secondSheetLinkRange">Детализация!$A$305:Детализация!$L$305</definedName>
    <definedName name="sheet1Ref">Отчёт!$A$1</definedName>
    <definedName name="sheet2Ref">Детализация!$A$1</definedName>
    <definedName name="sheetTitleWithDate">Отчёт!$A$4</definedName>
    <definedName name="_xlnm.Print_Titles" localSheetId="1">'Детализация'!$2:$2</definedName>
    <definedName name="_xlnm.Print_Area" localSheetId="1">Детализация!$A$2:$L$304</definedName>
    <definedName name="_xlnm.Print_Area" localSheetId="0">Отчёт!$A$4:$F$65</definedName>
  </definedNames>
  <calcPr calcId="144525"/>
</workbook>
</file>

<file path=xl/sharedStrings.xml><?xml version="1.0" encoding="utf-8"?>
<sst xmlns="http://schemas.openxmlformats.org/spreadsheetml/2006/main" count="3800" uniqueCount="349">
  <si>
    <t>Дата</t>
  </si>
  <si>
    <t>Время</t>
  </si>
  <si>
    <t>Сервис</t>
  </si>
  <si>
    <t>Номер</t>
  </si>
  <si>
    <t>Оператор</t>
  </si>
  <si>
    <t>Регион</t>
  </si>
  <si>
    <t>Объём услуг</t>
  </si>
  <si>
    <t>Единицы</t>
  </si>
  <si>
    <t>Баланс</t>
  </si>
  <si>
    <t>Изменение баланса</t>
  </si>
  <si>
    <t>Единицы измерения</t>
  </si>
  <si>
    <t>Списаний на сумму</t>
  </si>
  <si>
    <t>Пополнений на сумму</t>
  </si>
  <si>
    <t>Трафик</t>
  </si>
  <si>
    <t>Итого баланс:</t>
  </si>
  <si>
    <t>&lt;/jx:forEach&gt;</t>
  </si>
  <si>
    <t>&lt;/jx:if&gt;</t>
  </si>
  <si>
    <t>Конечный баланс</t>
  </si>
  <si>
    <t>${DEBIT_TRAFFIC_VALUE}</t>
  </si>
  <si>
    <t>В таблицах указано Московское время.</t>
  </si>
  <si>
    <t>Тариф</t>
  </si>
  <si>
    <t>Дата формирования отчета</t>
  </si>
  <si>
    <t>Срок действия</t>
  </si>
  <si>
    <t>«${REPORT_HEADER_TARIFF_INFO}»</t>
  </si>
  <si>
    <t>${REPORT_HEADER_CREATION_DATE}</t>
  </si>
  <si>
    <t>Детализация расходов для номера ${PHONE_NUMBER} ${REPORT_PERIOD}</t>
  </si>
  <si>
    <t>${YOUR_EXPENSES_TABLE_HEADER_START_BALANCE}</t>
  </si>
  <si>
    <t>${YOUR_EXPENSES_TABLE_HEADER_END_BALANCE}</t>
  </si>
  <si>
    <t>${REPORT_HELPER.formatUnit(DEBIT_TRAFFIC_UNIT_CODE)}</t>
  </si>
  <si>
    <t>${REPORT_HELPER.getBalanceName(data.bonusName)}</t>
  </si>
  <si>
    <t>Баланс для оплаты дополнительных услуг измеряется в единицах по курсу 1 единица = 1 руб. Автоматически пересчитывается в рубли.</t>
  </si>
  <si>
    <t>Объём услуги</t>
  </si>
  <si>
    <t>Структура расходов ${REPORT_PERIOD}</t>
  </si>
  <si>
    <t>${REPORT_HELPER.getAggregatorName(data.coreAggregator.name)}</t>
  </si>
  <si>
    <t>&lt;jx:if test="${status.index%2 == 1}"&gt;</t>
  </si>
  <si>
    <t>&lt;jx:if test="${status.index%2 == 0}"&gt;</t>
  </si>
  <si>
    <t>&lt;jx:if test="${data.coreAggregator.isRoot()==true}"&gt;</t>
  </si>
  <si>
    <t>${data.coreAggregator.value}</t>
  </si>
  <si>
    <t>&lt;jx:forEach items="${YOUR_EXPENSES_TABLE_DATASOURCE.data}" var="data" varStatus="status"&gt;</t>
  </si>
  <si>
    <t>&lt;jx:forEach items="${CALL_DETAILS_TABLE_GRAPH_DATASOURCE.data}" var="data" varStatus="status"&gt;</t>
  </si>
  <si>
    <t xml:space="preserve"> ${REPORT_HELPER.escapeMdash(REPORT_HELPER.formatUnitValue(data.coreAggregator.serviceUnit, data.coreAggregator.serviceVolume))}</t>
  </si>
  <si>
    <t>${data.legend}</t>
  </si>
  <si>
    <t>${data.value}</t>
  </si>
  <si>
    <t>Расход, ${REPORT_HELPER.formatUnit("CURRENCY")}</t>
  </si>
  <si>
    <t>Сумма, ${REPORT_HELPER.formatUnit("CURRENCY")}</t>
  </si>
  <si>
    <t>Вы знаете, как сделать детализацию лучше?</t>
  </si>
  <si>
    <t>Напишите нам о своих предложениях на details@beeline.ru. Вы предлагаете — мы меняемся!</t>
  </si>
  <si>
    <t>&lt;jx:forEach items="${data.coreAggregator.nestedAggregates}" var="nestedAggregator"&gt;</t>
  </si>
  <si>
    <t>${REPORT_HELPER.getAggregatorName(nestedAggregator.name)}</t>
  </si>
  <si>
    <t xml:space="preserve"> ${REPORT_HELPER.escapeMdash(REPORT_HELPER.formatUnitValue(nestedAggregator.serviceUnit, nestedAggregator.serviceVolume))}</t>
  </si>
  <si>
    <t>${nestedAggregator.value}</t>
  </si>
  <si>
    <t>&lt;jx:outline detail="true"&gt;</t>
  </si>
  <si>
    <t>&lt;/jx:outline&gt;</t>
  </si>
  <si>
    <t>&lt;jx:forEach items="${REPORT_HELPER.filterRootCoreAggregators(CORE_AGGREGATORS_TABLE_DATASOURCE.getData())}" var="data" varStatus="status"&gt;</t>
  </si>
  <si>
    <t>&lt;jx:if test="${CALL_DETAILS_TABLE_DATASOURCE==null}"&gt;</t>
  </si>
  <si>
    <t>${REPORT_HELPER.formatUnit("CURRENCY")}</t>
  </si>
  <si>
    <t>Все начисления указаны с учётом НДС</t>
  </si>
  <si>
    <t>&lt;jx:if test="${CALL_DETAILS_TABLE_DATASOURCE!=null}"&gt;</t>
  </si>
  <si>
    <t>&lt;jx:if test="${data.coreAggregator.value != 0}"&gt;</t>
  </si>
  <si>
    <t>&lt;jx:if test="${data.coreAggregator.value == 0}"&gt;</t>
  </si>
  <si>
    <t>&lt;jx:if test="${nestedAggregator.value != 0}"&gt;</t>
  </si>
  <si>
    <t>&lt;jx:if test="${nestedAggregator.value == 0}"&gt;</t>
  </si>
  <si>
    <t>${REPORT_HELPER.escapeMdash(REPORT_HELPER.defaultFormatValue(data.spentBonuses, true))} ${REPORT_HELPER.formatUnit(data.bonusUnitName)}</t>
  </si>
  <si>
    <t>&lt;jx:if test="${REPORT_HELPER.getDiagramBO().isBytes(data.bonusUnitName)==true}"&gt;</t>
  </si>
  <si>
    <t>&lt;jx:if test="${REPORT_HELPER.getDiagramBO().isBytes(data.bonusUnitName)==false}"&gt;</t>
  </si>
  <si>
    <t>Информация о расходах на вкладке Отчёт</t>
  </si>
  <si>
    <t>&lt;jx:if test="${HAVE_SPECIAL_ACCOUNT_BONUS!=null &amp;&amp; HAVE_SPECIAL_ACCOUNT_BONUS}"&gt;</t>
  </si>
  <si>
    <t xml:space="preserve">${REPORT_HELPER.escapeMdash(REPORT_HELPER.optimizeBytesValueOnly(data.bonusUnitName, data.spentBonuses, true))} ${REPORT_HELPER.escapeMdash(REPORT_HELPER.optimizeBytesUnitOnly(data.bonusUnitName, data.spentBonuses))} </t>
  </si>
  <si>
    <r>
      <t>${REPORT_HELPER.getPriceFirstPart(data.spentBonuses, true)}</t>
    </r>
    <r>
      <rPr>
        <sz val="10"/>
        <color theme="0" tint="-0.14999847407452621"/>
        <rFont val="Arial"/>
        <family val="2"/>
        <charset val="204"/>
      </rPr>
      <t xml:space="preserve">${REPORT_HELPER.getPriceSecondPart(data.spentBonuses)} </t>
    </r>
    <r>
      <rPr>
        <sz val="10"/>
        <color theme="1"/>
        <rFont val="Arial"/>
        <family val="2"/>
        <charset val="204"/>
      </rPr>
      <t>${REPORT_HELPER.formatUnit(data.bonusUnitName, data.bonusUnitTypeName)}</t>
    </r>
  </si>
  <si>
    <t>У вас не было расходов ${REPORT_PERIOD}</t>
  </si>
  <si>
    <t>&lt;jx:if test="${CALL_DETAILS_TABLE_GRAPH_DATASOURCE!=null &amp;&amp; CORE_AGGREGATORS_TABLE_DATASOURCE!=null &amp;&amp; CORE_DEBIT_BALANCE &gt; 0}"&gt;</t>
  </si>
  <si>
    <t>&lt;jx:if test="${CORE_AGGREGATORS_TABLE_DATASOURCE!=null &amp;&amp; CORE_DEBIT_BALANCE &gt;=0}"&gt;</t>
  </si>
  <si>
    <t>&lt;jx:if test="${YOUR_EXPENSES_TABLE_DATASOURCE!=null &amp;&amp; (CREDIT_BALANCE &gt;0 || CORE_CREDIT_BALANCE &gt;0 ||
    DEBIT_BALANCE &gt;= 0 || CORE_DEBIT_BALANCE &gt;= 0)}"&gt;</t>
  </si>
  <si>
    <t>&lt;jx:if test="${YOUR_EXPENSES_TABLE_DATASOURCE==null || !(CREDIT_BALANCE &gt;0 || CORE_CREDIT_BALANCE &gt;0 ||
    DEBIT_BALANCE &gt;= 0 || CORE_DEBIT_BALANCE &gt;= 0)}"&gt;</t>
  </si>
  <si>
    <t>У вас не было расходов и пополнений ${REPORT_PERIOD}</t>
  </si>
  <si>
    <t>&lt;jx:if test="${(CORE_AGGREGATORS_TABLE_DATASOURCE==null || CORE_DEBIT_BALANCE &lt; 0)&amp;&amp; (CREDIT_BALANCE &gt;0 || CORE_CREDIT_BALANCE &gt;0)} "&gt;</t>
  </si>
  <si>
    <t>&lt;jx:if test="${REPORT_HELPER.isCurrency(data.bonusUnitName)==true || REPORT_HELPER.isCurrencyValue(data.bonusUnitTypeName)==true}"&gt;</t>
  </si>
  <si>
    <t>&lt;jx:if test="${REPORT_HELPER.isCurrency(data.bonusUnitName)==false  &amp;&amp; REPORT_HELPER.isCurrencyValue(data.bonusUnitTypeName)==false}"&gt;</t>
  </si>
  <si>
    <t>&lt;jx:if test="${REPORT_HELPER.isCurrency(data.bonusUnitName)==false &amp;&amp; REPORT_HELPER.isCurrencyValue(data.bonusUnitTypeName)==false}"&gt;</t>
  </si>
  <si>
    <t>${CORE_DEBIT}</t>
  </si>
  <si>
    <t>${CORE_CREDIT}</t>
  </si>
  <si>
    <t>Ваш баланс и бонусы</t>
  </si>
  <si>
    <t>&lt;jx:forEach items="${nestedAggregator.nestedAggregates}" var="nestedNestedAggregator"&gt;</t>
  </si>
  <si>
    <t>&lt;jx:if test="${nestedNestedAggregator.value != 0}"&gt;</t>
  </si>
  <si>
    <t>${REPORT_HELPER.getAggregatorName(nestedNestedAggregator.name)}</t>
  </si>
  <si>
    <t xml:space="preserve"> ${REPORT_HELPER.escapeMdash(REPORT_HELPER.formatUnitValue(nestedNestedAggregator.serviceUnit, nestedNestedAggregator.serviceVolume))}</t>
  </si>
  <si>
    <t>${nestedNestedAggregator.value}</t>
  </si>
  <si>
    <t>&lt;jx:if test="${nestedNestedAggregator.value == 0}"&gt;</t>
  </si>
  <si>
    <t>&lt;jx:if test="${nestedAggregator.nestedAggregates != null &amp;&amp; nestedAggregator.nestedAggregates.size()&gt;0}"&gt;</t>
  </si>
  <si>
    <t>$[SUM(C10,C11)]</t>
  </si>
  <si>
    <t>Пополнения *</t>
  </si>
  <si>
    <t>Расходы *</t>
  </si>
  <si>
    <t>Суммы в графах «Пополнения» и «Расходы» не учитывают списания/пополнения за услуги «Доверительный платеж» и «Автоплатеж»</t>
  </si>
  <si>
    <t>Подробная информация о расходах на вкладке Детализация</t>
  </si>
  <si>
    <t>${if (data.bonusName != 'GA_SHADOW1') REPORT_HELPER.getPrepaidBonusFormattedExpirationDate(data.expirationDate) else ''}</t>
  </si>
  <si>
    <r>
      <t>${if (data.bonusName != 'GA_SHADOW1')  REPORT_HELPER.getPriceFirstPart(data.balanceAmountStart, !REPORT_HELPER.isCoreBalance(data.bonusName)) else '-'}</t>
    </r>
    <r>
      <rPr>
        <sz val="10"/>
        <color theme="0" tint="-0.14999847407452621"/>
        <rFont val="Arial"/>
        <family val="2"/>
        <charset val="204"/>
      </rPr>
      <t xml:space="preserve">${if (data.bonusName != 'GA_SHADOW1') REPORT_HELPER.getPriceSecondPart(data.balanceAmountStart) else ''} </t>
    </r>
    <r>
      <rPr>
        <sz val="10"/>
        <color theme="1"/>
        <rFont val="Arial"/>
        <family val="2"/>
        <charset val="204"/>
      </rPr>
      <t>${if (data.bonusName != 'GA_SHADOW1') REPORT_HELPER.formatUnit(data.bonusUnitName, data.bonusUnitTypeName) else ''}</t>
    </r>
  </si>
  <si>
    <t>${if (data.bonusName != 'GA_SHADOW1') REPORT_HELPER.escapeMdash(REPORT_HELPER.defaultFormatValue(data.balanceAmountStart, !REPORT_HELPER.isCoreBalance(data.bonusName))) else '-'} ${if (data.bonusName != 'GA_SHADOW1') REPORT_HELPER.formatUnit(data.bonusUnitName) else ''}</t>
  </si>
  <si>
    <t xml:space="preserve">${if (data.bonusName != 'GA_SHADOW1')  REPORT_HELPER.escapeMdash(REPORT_HELPER.optimizeBytesValueOnly(data.bonusUnitName, data.balanceAmountStart,  !REPORT_HELPER.isCoreBalance(data.bonusName))) else '-'} ${if (data.bonusName != 'GA_SHADOW1') REPORT_HELPER.escapeMdash(REPORT_HELPER.optimizeBytesUnitOnly(data.bonusUnitName, data.balanceAmountStart)) else ''} </t>
  </si>
  <si>
    <t>${if (data.bonusName != 'GA_SHADOW1') REPORT_HELPER.escapeMdash(REPORT_HELPER.defaultFormatValue(data.addedBonuses, true)) else '-'} ${if (data.bonusName != 'GA_SHADOW1')  REPORT_HELPER.formatUnit(data.bonusUnitName) else ''}</t>
  </si>
  <si>
    <t xml:space="preserve">${if (data.bonusName != 'GA_SHADOW1') REPORT_HELPER.escapeMdash(REPORT_HELPER.optimizeBytesValueOnly(data.bonusUnitName, data.addedBonuses, true)) else '-'} ${if (data.bonusName != 'GA_SHADOW1')  REPORT_HELPER.escapeMdash(REPORT_HELPER.optimizeBytesUnitOnly(data.bonusUnitName, data.addedBonuses)) else ''} </t>
  </si>
  <si>
    <r>
      <t>${if (data.bonusName != 'GA_SHADOW1') REPORT_HELPER.getPriceFirstPart(data.addedBonuses, true) else '-'}</t>
    </r>
    <r>
      <rPr>
        <sz val="10"/>
        <color theme="0" tint="-0.14999847407452621"/>
        <rFont val="Arial"/>
        <family val="2"/>
        <charset val="204"/>
      </rPr>
      <t xml:space="preserve">${if (data.bonusName != 'GA_SHADOW1') REPORT_HELPER.getPriceSecondPart(data.addedBonuses) else ''} </t>
    </r>
    <r>
      <rPr>
        <sz val="10"/>
        <color theme="1"/>
        <rFont val="Arial"/>
        <family val="2"/>
        <charset val="204"/>
      </rPr>
      <t>${if (data.bonusName != 'GA_SHADOW1')  REPORT_HELPER.formatUnit(data.bonusUnitName, data.bonusUnitTypeName) else ''}</t>
    </r>
  </si>
  <si>
    <r>
      <t>${if (data.bonusName != 'GA_SHADOW1') REPORT_HELPER.getPriceFirstPart(data.balanceAmountEnd, !REPORT_HELPER.isCoreBalance(data.bonusName)) else '-'}</t>
    </r>
    <r>
      <rPr>
        <sz val="10"/>
        <color theme="0" tint="-0.14999847407452621"/>
        <rFont val="Arial"/>
        <family val="2"/>
        <charset val="204"/>
      </rPr>
      <t xml:space="preserve">${if (data.bonusName != 'GA_SHADOW1') REPORT_HELPER.getPriceSecondPart(data.balanceAmountEnd) else ''} </t>
    </r>
    <r>
      <rPr>
        <sz val="10"/>
        <color theme="1"/>
        <rFont val="Arial"/>
        <family val="2"/>
        <charset val="204"/>
      </rPr>
      <t>${if (data.bonusName != 'GA_SHADOW1') REPORT_HELPER.formatUnit(data.bonusUnitName, data.bonusUnitTypeName) else ''}</t>
    </r>
  </si>
  <si>
    <t>${if (data.bonusName != 'GA_SHADOW1') REPORT_HELPER.escapeMdash(REPORT_HELPER.defaultFormatValue(data.balanceAmountEnd, !REPORT_HELPER.isCoreBalance(data.bonusName))) else '-'} ${ if (data.bonusName != 'GA_SHADOW1') REPORT_HELPER.formatUnit(data.bonusUnitName) else ''}</t>
  </si>
  <si>
    <t xml:space="preserve">${if (data.bonusName != 'GA_SHADOW1') REPORT_HELPER.escapeMdash(REPORT_HELPER.optimizeBytesValueOnly(data.bonusUnitName, data.balanceAmountEnd, !REPORT_HELPER.isCoreBalance(data.bonusName))) else '-'} ${if (data.bonusName != 'GA_SHADOW1') REPORT_HELPER.escapeMdash(REPORT_HELPER.optimizeBytesUnitOnly(data.bonusUnitName, data.balanceAmountEnd)) else ''} </t>
  </si>
  <si>
    <t>Детализация расходов для номера +7 961 080-08-62 с 10 декабря 2015 по 09 января 2016</t>
  </si>
  <si>
    <t>«Всё за 150 архив 2014»</t>
  </si>
  <si>
    <t>10 января 2016, 01:33:15</t>
  </si>
  <si>
    <t>Было 
10 декабря 2015</t>
  </si>
  <si>
    <t>Осталось 
09 января 2016</t>
  </si>
  <si>
    <t>Основной баланс</t>
  </si>
  <si>
    <t>Бессрочно</t>
  </si>
  <si>
    <t>80,3600 руб.</t>
  </si>
  <si>
    <t>100,0000 руб.</t>
  </si>
  <si>
    <t>135,0000 руб.</t>
  </si>
  <si>
    <t>45,3600 руб.</t>
  </si>
  <si>
    <t>Структура расходов с 10 декабря 2015 по 09 января 2016</t>
  </si>
  <si>
    <t>Сумма, руб.</t>
  </si>
  <si>
    <t>Исходящие звонки</t>
  </si>
  <si>
    <t xml:space="preserve"> 39 мин 22 сек</t>
  </si>
  <si>
    <t>Местные</t>
  </si>
  <si>
    <t>Билайн</t>
  </si>
  <si>
    <t xml:space="preserve"> 28 мин 28 сек</t>
  </si>
  <si>
    <t>Другие операторы</t>
  </si>
  <si>
    <t xml:space="preserve"> 10 мин 54 сек</t>
  </si>
  <si>
    <t>SMS и MMS</t>
  </si>
  <si>
    <t xml:space="preserve"> 3 шт</t>
  </si>
  <si>
    <t>Мобильный интернет</t>
  </si>
  <si>
    <t xml:space="preserve"> 1,5 Гбайт</t>
  </si>
  <si>
    <t>Информационно-развлекательные сервисы</t>
  </si>
  <si>
    <t xml:space="preserve">   - </t>
  </si>
  <si>
    <t>Абонентская плата за тариф и услуги</t>
  </si>
  <si>
    <t>Международный роуминг</t>
  </si>
  <si>
    <t>Роуминг по России</t>
  </si>
  <si>
    <t>Оплата услуг и мобильные переводы</t>
  </si>
  <si>
    <t>Доверительный платеж/Автоплатеж</t>
  </si>
  <si>
    <t>Расход, руб.</t>
  </si>
  <si>
    <t>09 января, Сб</t>
  </si>
  <si>
    <t>08 января, Пт</t>
  </si>
  <si>
    <t>07 января, Чт</t>
  </si>
  <si>
    <t>06 января, Ср</t>
  </si>
  <si>
    <t>05 января, Вт</t>
  </si>
  <si>
    <t>04 января, Пн</t>
  </si>
  <si>
    <t>03 января, Вс</t>
  </si>
  <si>
    <t>02 января, Сб</t>
  </si>
  <si>
    <t>01 января, Пт</t>
  </si>
  <si>
    <t>31 декабря, Чт</t>
  </si>
  <si>
    <t>30 декабря, Ср</t>
  </si>
  <si>
    <t>29 декабря, Вт</t>
  </si>
  <si>
    <t>28 декабря, Пн</t>
  </si>
  <si>
    <t>27 декабря, Вс</t>
  </si>
  <si>
    <t>26 декабря, Сб</t>
  </si>
  <si>
    <t>25 декабря, Пт</t>
  </si>
  <si>
    <t>24 декабря, Чт</t>
  </si>
  <si>
    <t>23 декабря, Ср</t>
  </si>
  <si>
    <t>22 декабря, Вт</t>
  </si>
  <si>
    <t>21 декабря, Пн</t>
  </si>
  <si>
    <t>20 декабря, Вс</t>
  </si>
  <si>
    <t>19 декабря, Сб</t>
  </si>
  <si>
    <t>18 декабря, Пт</t>
  </si>
  <si>
    <t>17 декабря, Чт</t>
  </si>
  <si>
    <t>16 декабря, Ср</t>
  </si>
  <si>
    <t>15 декабря, Вт</t>
  </si>
  <si>
    <t>14 декабря, Пн</t>
  </si>
  <si>
    <t>13 декабря, Вс</t>
  </si>
  <si>
    <t>12 декабря, Сб</t>
  </si>
  <si>
    <t>11 декабря, Пт</t>
  </si>
  <si>
    <t>10 декабря, Чт</t>
  </si>
  <si>
    <t>руб.</t>
  </si>
  <si>
    <t>байт</t>
  </si>
  <si>
    <t>Входящий звонок с</t>
  </si>
  <si>
    <t>+7 903 327-66-39</t>
  </si>
  <si>
    <t xml:space="preserve">Билайн </t>
  </si>
  <si>
    <t>Волгоградская обл.</t>
  </si>
  <si>
    <t>00:00:09</t>
  </si>
  <si>
    <t>сек</t>
  </si>
  <si>
    <t>00:00:14</t>
  </si>
  <si>
    <t>00:03:48</t>
  </si>
  <si>
    <t>00:02:16</t>
  </si>
  <si>
    <t>00:01:07</t>
  </si>
  <si>
    <t>+7 960 882-62-27</t>
  </si>
  <si>
    <t>00:02:05</t>
  </si>
  <si>
    <t>Исходящий звонок за счет собеседника на</t>
  </si>
  <si>
    <t>05050</t>
  </si>
  <si>
    <t/>
  </si>
  <si>
    <t>00:00:56</t>
  </si>
  <si>
    <t>00:02:02</t>
  </si>
  <si>
    <t>+7 906 175-15-15</t>
  </si>
  <si>
    <t>00:01:04</t>
  </si>
  <si>
    <t>00:01:37</t>
  </si>
  <si>
    <t>00:01:15</t>
  </si>
  <si>
    <t>00:00:26</t>
  </si>
  <si>
    <t>00:00:17</t>
  </si>
  <si>
    <t>00:00:52</t>
  </si>
  <si>
    <t>00:00:19</t>
  </si>
  <si>
    <t>00:01:51</t>
  </si>
  <si>
    <t>00:00:41</t>
  </si>
  <si>
    <t>00:00:25</t>
  </si>
  <si>
    <t>00:02:47</t>
  </si>
  <si>
    <t>00:01:12</t>
  </si>
  <si>
    <t>00:00:37</t>
  </si>
  <si>
    <t>00:01:34</t>
  </si>
  <si>
    <t>00:00:42</t>
  </si>
  <si>
    <t>00:00:22</t>
  </si>
  <si>
    <t>00:00:32</t>
  </si>
  <si>
    <t>Списание Довер./Автодоверительного платежа</t>
  </si>
  <si>
    <t xml:space="preserve"> </t>
  </si>
  <si>
    <t>—</t>
  </si>
  <si>
    <t>206</t>
  </si>
  <si>
    <t>Плата за подключение Довер. платежа</t>
  </si>
  <si>
    <t>Исходящий звонок на</t>
  </si>
  <si>
    <t>00:00:12</t>
  </si>
  <si>
    <t>00:00:11</t>
  </si>
  <si>
    <t>00:00:27</t>
  </si>
  <si>
    <t>00:00:35</t>
  </si>
  <si>
    <t>00:00:57</t>
  </si>
  <si>
    <t>00:01:24</t>
  </si>
  <si>
    <t>+7 800 700-80-06</t>
  </si>
  <si>
    <t>19203.0</t>
  </si>
  <si>
    <t>Кбайт</t>
  </si>
  <si>
    <t>20481.0</t>
  </si>
  <si>
    <t>00:00:15</t>
  </si>
  <si>
    <t>57470.0</t>
  </si>
  <si>
    <t>20482.0</t>
  </si>
  <si>
    <t>80934.0</t>
  </si>
  <si>
    <t>1179.0</t>
  </si>
  <si>
    <t>5512.0</t>
  </si>
  <si>
    <t>81922.0</t>
  </si>
  <si>
    <t>74277.0</t>
  </si>
  <si>
    <t>1196.0</t>
  </si>
  <si>
    <t>30621.0</t>
  </si>
  <si>
    <t>81921.0</t>
  </si>
  <si>
    <t>Абон. плата «Всё за 150»</t>
  </si>
  <si>
    <t>153.0</t>
  </si>
  <si>
    <t>8.0</t>
  </si>
  <si>
    <t>114.0</t>
  </si>
  <si>
    <t>56.0</t>
  </si>
  <si>
    <t>411.0</t>
  </si>
  <si>
    <t>11.0</t>
  </si>
  <si>
    <t>144.0</t>
  </si>
  <si>
    <t>64699.0</t>
  </si>
  <si>
    <t>138.0</t>
  </si>
  <si>
    <t>8228.0</t>
  </si>
  <si>
    <t>10.0</t>
  </si>
  <si>
    <t>2.0</t>
  </si>
  <si>
    <t>2010.0</t>
  </si>
  <si>
    <t>51261.0</t>
  </si>
  <si>
    <t>1388.0</t>
  </si>
  <si>
    <t>10342.0</t>
  </si>
  <si>
    <t>00:00:13</t>
  </si>
  <si>
    <t>00:00:20</t>
  </si>
  <si>
    <t>00:01:53</t>
  </si>
  <si>
    <t>1955.0</t>
  </si>
  <si>
    <t>00:00:24</t>
  </si>
  <si>
    <t>5660.0</t>
  </si>
  <si>
    <t>980.0</t>
  </si>
  <si>
    <t>00:01:56</t>
  </si>
  <si>
    <t>00:01:45</t>
  </si>
  <si>
    <t>Доверительный платеж</t>
  </si>
  <si>
    <t>240.0</t>
  </si>
  <si>
    <t>00:04:21</t>
  </si>
  <si>
    <t>457.0</t>
  </si>
  <si>
    <t>+7 937 105-85-05</t>
  </si>
  <si>
    <t xml:space="preserve">МегаФон </t>
  </si>
  <si>
    <t>39.0</t>
  </si>
  <si>
    <t>444.0</t>
  </si>
  <si>
    <t>00:00:30</t>
  </si>
  <si>
    <t>00:01:03</t>
  </si>
  <si>
    <t>00:01:25</t>
  </si>
  <si>
    <t>00:00:01</t>
  </si>
  <si>
    <t>00:01:16</t>
  </si>
  <si>
    <t>00:02:29</t>
  </si>
  <si>
    <t>00:00:33</t>
  </si>
  <si>
    <t>00:02:48</t>
  </si>
  <si>
    <t>00:06:31</t>
  </si>
  <si>
    <t>00:00:16</t>
  </si>
  <si>
    <t>00:01:50</t>
  </si>
  <si>
    <t>+7 844 324-01-67</t>
  </si>
  <si>
    <t xml:space="preserve">Городской </t>
  </si>
  <si>
    <t>00:03:00</t>
  </si>
  <si>
    <t>1655.0</t>
  </si>
  <si>
    <t>00:00:49</t>
  </si>
  <si>
    <t>Переадресация звонка на «Будь в курсе» на</t>
  </si>
  <si>
    <t>-</t>
  </si>
  <si>
    <t>00:00:03</t>
  </si>
  <si>
    <t>Входящий звонок на</t>
  </si>
  <si>
    <t>00:01:23</t>
  </si>
  <si>
    <t>+7 495 739-22-03</t>
  </si>
  <si>
    <t>Москва - МО</t>
  </si>
  <si>
    <t>+7 495 739-22-01</t>
  </si>
  <si>
    <t>00:01:35</t>
  </si>
  <si>
    <t>00:00:38</t>
  </si>
  <si>
    <t>00:00:44</t>
  </si>
  <si>
    <t>+7 499 500-81-38</t>
  </si>
  <si>
    <t>451.0</t>
  </si>
  <si>
    <t>00:00:36</t>
  </si>
  <si>
    <t>00:00:23</t>
  </si>
  <si>
    <t>+7 917 727-13-87</t>
  </si>
  <si>
    <t xml:space="preserve">МТС </t>
  </si>
  <si>
    <t>5655.0</t>
  </si>
  <si>
    <t>00:01:11</t>
  </si>
  <si>
    <t>00:00:18</t>
  </si>
  <si>
    <t>00:00:07</t>
  </si>
  <si>
    <t>00:00:21</t>
  </si>
  <si>
    <t>+7 902 659-93-94</t>
  </si>
  <si>
    <t xml:space="preserve">ГК Ростелеком </t>
  </si>
  <si>
    <t>00:05:45</t>
  </si>
  <si>
    <t>00:03:43</t>
  </si>
  <si>
    <t>00:00:50</t>
  </si>
  <si>
    <t>00:00:02</t>
  </si>
  <si>
    <t>00:00:31</t>
  </si>
  <si>
    <t>00:01:49</t>
  </si>
  <si>
    <t>00:00:48</t>
  </si>
  <si>
    <t>00:03:02</t>
  </si>
  <si>
    <t>287.0</t>
  </si>
  <si>
    <t>Пополнение баланса</t>
  </si>
  <si>
    <t>00:01:30</t>
  </si>
  <si>
    <t>+7 961 666-88-26</t>
  </si>
  <si>
    <t>00:00:28</t>
  </si>
  <si>
    <t>00:00:04</t>
  </si>
  <si>
    <t>00:00:08</t>
  </si>
  <si>
    <t>00:00:29</t>
  </si>
  <si>
    <t>00:00:47</t>
  </si>
  <si>
    <t>00:01:20</t>
  </si>
  <si>
    <t>00:00:40</t>
  </si>
  <si>
    <t>00:00:45</t>
  </si>
  <si>
    <t>00:07:55</t>
  </si>
  <si>
    <t>00:01:21</t>
  </si>
  <si>
    <t>00:00:10</t>
  </si>
  <si>
    <t>+7 960 869-50-34</t>
  </si>
  <si>
    <t>00:02:27</t>
  </si>
  <si>
    <t>00:01:17</t>
  </si>
  <si>
    <t>00:03:08</t>
  </si>
  <si>
    <t>00:01:18</t>
  </si>
  <si>
    <t>00:01:26</t>
  </si>
  <si>
    <t>00:00:39</t>
  </si>
  <si>
    <t>00:03:18</t>
  </si>
  <si>
    <t>00:01:00</t>
  </si>
  <si>
    <t>00:00:54</t>
  </si>
  <si>
    <t>00:01:08</t>
  </si>
  <si>
    <t>+7 844 333-78-87</t>
  </si>
  <si>
    <t>1681.0</t>
  </si>
  <si>
    <t>14.0</t>
  </si>
  <si>
    <t>00:00:06</t>
  </si>
  <si>
    <t>Сервис Билайн «Мобильное ТВ»</t>
  </si>
  <si>
    <t>9680</t>
  </si>
  <si>
    <t>SMS</t>
  </si>
  <si>
    <t>bee900</t>
  </si>
  <si>
    <t>1</t>
  </si>
  <si>
    <t>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</si>
</sst>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р_._-;\-* #,##0.00_р_._-;_-* &quot;-&quot;??_р_._-;_-@_-"/>
    <numFmt numFmtId="164" formatCode="h:mm:ss;@"/>
    <numFmt numFmtId="165" formatCode="0.0000"/>
    <numFmt numFmtId="166" formatCode="[$-FC19]dd\ mmmm\ yyyy;@"/>
    <numFmt numFmtId="167" formatCode="[$-F400]h:mm:ss\ AM/PM"/>
    <numFmt numFmtId="168" formatCode="[&gt;9999]\+#\ ###\ ###\-##\-##;General"/>
    <numFmt numFmtId="169" formatCode="[&lt;=9999999]\+##,##\-#,#\-##;\+#\(###\)\ ###\-##\-##"/>
    <numFmt numFmtId="170" formatCode="#,##0.0000"/>
    <numFmt numFmtId="171" formatCode="[$-F800]dddd\,\ mmmm\ dd\,\ yyyy"/>
    <numFmt numFmtId="172" formatCode="dd\ mmmm\,"/>
    <numFmt numFmtId="173" formatCode="[hh]:mm:ss"/>
    <numFmt numFmtId="174" formatCode="#0"/>
  </numFmts>
  <fonts count="70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 Cyr"/>
    </font>
    <font>
      <sz val="10"/>
      <color indexed="8"/>
      <name val="Arial Cyr"/>
      <charset val="204"/>
    </font>
    <font>
      <sz val="10"/>
      <color theme="0" tint="-0.34998626667073579"/>
      <name val="Arial Cyr"/>
    </font>
    <font>
      <sz val="10"/>
      <name val="Arial Cyr"/>
    </font>
    <font>
      <b/>
      <sz val="15"/>
      <color indexed="8"/>
      <name val="Arial"/>
      <family val="2"/>
      <charset val="204"/>
    </font>
    <font>
      <sz val="10"/>
      <color theme="0" tint="-0.34998626667073579"/>
      <name val="Arial"/>
      <family val="2"/>
      <charset val="204"/>
    </font>
    <font>
      <u/>
      <sz val="10"/>
      <color theme="10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1"/>
      <color indexed="8"/>
      <name val="Arial"/>
      <family val="2"/>
      <charset val="204"/>
    </font>
    <font>
      <b/>
      <sz val="21"/>
      <color indexed="8"/>
      <name val="OfficinaSerifC"/>
      <family val="5"/>
    </font>
    <font>
      <b/>
      <sz val="22"/>
      <color indexed="8"/>
      <name val="OfficinaSerifC"/>
      <family val="5"/>
    </font>
    <font>
      <sz val="11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theme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7"/>
      <color indexed="8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17"/>
      <color indexed="8"/>
      <name val="OfficinaSerifC"/>
      <family val="5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0" tint="-0.1499984740745262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u/>
      <sz val="15"/>
      <name val="Arial"/>
      <family val="2"/>
      <charset val="204"/>
    </font>
    <font>
      <i/>
      <sz val="8"/>
      <color indexed="8"/>
      <name val="Arial Cyr"/>
      <charset val="204"/>
    </font>
    <font>
      <sz val="11"/>
      <color indexed="8"/>
      <name val="Arial Cyr"/>
    </font>
    <font>
      <b/>
      <sz val="10"/>
      <color theme="0" tint="-0.499984740745262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11"/>
      <color rgb="FF006100"/>
      <name val="Arial"/>
      <family val="2"/>
      <charset val="204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  <font>
      <name val="Calibri"/>
      <sz val="11.0"/>
      <color rgb="00740A"/>
    </font>
  </fonts>
  <fills count="10">
    <fill>
      <patternFill patternType="none"/>
    </fill>
    <fill>
      <patternFill patternType="gray125"/>
    </fill>
    <fill>
      <patternFill patternType="solid">
        <fgColor rgb="FFE5DD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F8F5F3"/>
        <bgColor indexed="64"/>
      </patternFill>
    </fill>
    <fill>
      <patternFill patternType="solid">
        <fgColor rgb="FFC6EFCE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8F5F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 applyAlignment="0">
      <alignment horizontal="left" vertical="center" wrapText="1"/>
    </xf>
    <xf numFmtId="0" fontId="3" fillId="0" borderId="0">
      <alignment horizontal="left" vertical="center" wrapText="1"/>
    </xf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0" fontId="21" fillId="0" borderId="0">
      <alignment horizontal="left" vertical="center" wrapText="1"/>
    </xf>
    <xf numFmtId="0" fontId="33" fillId="6" borderId="0" applyNumberFormat="0" applyBorder="0" applyAlignment="0" applyProtection="0"/>
  </cellStyleXfs>
  <cellXfs count="3740">
    <xf numFmtId="0" fontId="0" fillId="0" borderId="0" xfId="0"/>
    <xf numFmtId="0" fontId="0" fillId="0" borderId="0" xfId="0" applyAlignment="1">
      <alignment vertical="distributed"/>
    </xf>
    <xf numFmtId="2" fontId="3" fillId="3" borderId="0" xfId="2" applyNumberFormat="1" applyFont="1" applyFill="1" applyBorder="1" applyAlignment="1">
      <alignment horizontal="right" vertical="distributed" wrapText="1"/>
    </xf>
    <xf numFmtId="0" fontId="5" fillId="3" borderId="0" xfId="2" applyNumberFormat="1" applyFont="1" applyFill="1" applyBorder="1" applyAlignment="1">
      <alignment horizontal="left" vertical="distributed" wrapText="1"/>
    </xf>
    <xf numFmtId="2" fontId="7" fillId="3" borderId="0" xfId="2" applyNumberFormat="1" applyFont="1" applyFill="1" applyAlignment="1">
      <alignment horizontal="right" vertical="distributed" wrapText="1"/>
    </xf>
    <xf numFmtId="0" fontId="8" fillId="3" borderId="0" xfId="2" applyNumberFormat="1" applyFont="1" applyFill="1" applyBorder="1" applyAlignment="1">
      <alignment horizontal="left" vertical="distributed" wrapText="1"/>
    </xf>
    <xf numFmtId="49" fontId="7" fillId="3" borderId="0" xfId="2" applyNumberFormat="1" applyFont="1" applyFill="1" applyAlignment="1">
      <alignment horizontal="left" vertical="distributed" wrapText="1"/>
    </xf>
    <xf numFmtId="0" fontId="10" fillId="4" borderId="0" xfId="4"/>
    <xf numFmtId="2" fontId="7" fillId="3" borderId="0" xfId="2" applyNumberFormat="1" applyFont="1" applyFill="1" applyAlignment="1">
      <alignment horizontal="right" vertical="distributed"/>
    </xf>
    <xf numFmtId="0" fontId="8" fillId="3" borderId="0" xfId="2" applyNumberFormat="1" applyFont="1" applyFill="1" applyBorder="1" applyAlignment="1">
      <alignment horizontal="left" vertical="distributed"/>
    </xf>
    <xf numFmtId="0" fontId="0" fillId="0" borderId="0" xfId="0" applyAlignment="1">
      <alignment vertical="center"/>
    </xf>
    <xf numFmtId="0" fontId="0" fillId="3" borderId="0" xfId="0" applyFill="1" applyAlignment="1">
      <alignment horizontal="left"/>
    </xf>
    <xf numFmtId="0" fontId="13" fillId="3" borderId="0" xfId="0" applyFont="1" applyFill="1" applyBorder="1" applyAlignment="1" applyProtection="1">
      <alignment horizontal="left" wrapText="1"/>
    </xf>
    <xf numFmtId="0" fontId="14" fillId="3" borderId="0" xfId="0" applyFont="1" applyFill="1" applyBorder="1" applyAlignment="1" applyProtection="1">
      <alignment horizontal="left" wrapText="1"/>
    </xf>
    <xf numFmtId="0" fontId="1" fillId="3" borderId="0" xfId="1" applyFill="1" applyAlignment="1">
      <alignment horizontal="left" vertical="center" wrapText="1"/>
    </xf>
    <xf numFmtId="22" fontId="3" fillId="3" borderId="0" xfId="2" applyNumberFormat="1" applyFill="1" applyAlignment="1">
      <alignment horizontal="right" vertical="center" wrapText="1"/>
    </xf>
    <xf numFmtId="0" fontId="16" fillId="3" borderId="0" xfId="3" quotePrefix="1" applyFont="1" applyFill="1" applyAlignment="1">
      <alignment horizontal="left" vertical="center" wrapText="1"/>
    </xf>
    <xf numFmtId="0" fontId="17" fillId="3" borderId="0" xfId="3" quotePrefix="1" applyFont="1" applyFill="1" applyAlignment="1">
      <alignment horizontal="left" vertical="center" wrapText="1"/>
    </xf>
    <xf numFmtId="0" fontId="0" fillId="3" borderId="0" xfId="0" applyFill="1"/>
    <xf numFmtId="0" fontId="1" fillId="2" borderId="0" xfId="1" applyFont="1" applyFill="1" applyAlignment="1">
      <alignment horizontal="right" vertical="center"/>
    </xf>
    <xf numFmtId="0" fontId="1" fillId="5" borderId="0" xfId="1" applyFont="1" applyFill="1" applyAlignment="1">
      <alignment horizontal="right" vertical="center" wrapText="1"/>
    </xf>
    <xf numFmtId="0" fontId="1" fillId="5" borderId="0" xfId="1" applyFont="1" applyFill="1" applyAlignment="1">
      <alignment horizontal="left" vertical="center" wrapText="1"/>
    </xf>
    <xf numFmtId="0" fontId="18" fillId="5" borderId="0" xfId="1" applyFont="1" applyFill="1" applyAlignment="1">
      <alignment horizontal="right" vertical="center" wrapText="1"/>
    </xf>
    <xf numFmtId="168" fontId="4" fillId="3" borderId="0" xfId="2" applyNumberFormat="1" applyFont="1" applyFill="1" applyBorder="1" applyAlignment="1">
      <alignment horizontal="left" vertical="distributed" wrapText="1"/>
    </xf>
    <xf numFmtId="169" fontId="3" fillId="3" borderId="0" xfId="2" applyNumberFormat="1" applyFill="1" applyBorder="1" applyAlignment="1">
      <alignment horizontal="left" vertical="distributed" wrapText="1"/>
    </xf>
    <xf numFmtId="49" fontId="3" fillId="3" borderId="0" xfId="2" applyNumberFormat="1" applyFill="1" applyBorder="1" applyAlignment="1">
      <alignment horizontal="left" vertical="distributed" wrapText="1"/>
    </xf>
    <xf numFmtId="2" fontId="3" fillId="3" borderId="0" xfId="2" applyNumberFormat="1" applyFill="1" applyBorder="1" applyAlignment="1">
      <alignment horizontal="right" vertical="distributed" wrapText="1"/>
    </xf>
    <xf numFmtId="49" fontId="6" fillId="3" borderId="0" xfId="2" applyNumberFormat="1" applyFont="1" applyFill="1" applyBorder="1" applyAlignment="1">
      <alignment horizontal="left" vertical="distributed" wrapText="1"/>
    </xf>
    <xf numFmtId="165" fontId="5" fillId="3" borderId="0" xfId="2" applyNumberFormat="1" applyFont="1" applyFill="1" applyBorder="1" applyAlignment="1">
      <alignment vertical="distributed"/>
    </xf>
    <xf numFmtId="170" fontId="3" fillId="3" borderId="0" xfId="2" applyNumberFormat="1" applyFill="1" applyAlignment="1">
      <alignment horizontal="right" vertical="center" wrapText="1"/>
    </xf>
    <xf numFmtId="0" fontId="10" fillId="3" borderId="0" xfId="4" applyFill="1"/>
    <xf numFmtId="0" fontId="0" fillId="3" borderId="0" xfId="0" applyFill="1" applyAlignment="1">
      <alignment vertical="distributed"/>
    </xf>
    <xf numFmtId="0" fontId="0" fillId="3" borderId="0" xfId="0" applyFill="1" applyAlignment="1">
      <alignment vertical="center"/>
    </xf>
    <xf numFmtId="49" fontId="6" fillId="3" borderId="0" xfId="2" applyNumberFormat="1" applyFont="1" applyFill="1" applyBorder="1" applyAlignment="1">
      <alignment horizontal="right" vertical="distributed" wrapText="1"/>
    </xf>
    <xf numFmtId="49" fontId="3" fillId="3" borderId="0" xfId="2" applyNumberFormat="1" applyFont="1" applyFill="1" applyBorder="1" applyAlignment="1">
      <alignment horizontal="right" vertical="distributed" wrapText="1"/>
    </xf>
    <xf numFmtId="0" fontId="0" fillId="3" borderId="0" xfId="0" applyFill="1" applyBorder="1"/>
    <xf numFmtId="166" fontId="3" fillId="3" borderId="0" xfId="2" applyNumberFormat="1" applyFill="1" applyBorder="1" applyAlignment="1">
      <alignment horizontal="left" vertical="distributed" wrapText="1"/>
    </xf>
    <xf numFmtId="167" fontId="3" fillId="3" borderId="0" xfId="2" applyNumberFormat="1" applyFill="1" applyBorder="1" applyAlignment="1">
      <alignment horizontal="left" vertical="distributed" wrapText="1"/>
    </xf>
    <xf numFmtId="49" fontId="3" fillId="3" borderId="0" xfId="2" applyNumberFormat="1" applyFill="1" applyBorder="1" applyAlignment="1">
      <alignment horizontal="left" vertical="distributed" readingOrder="1"/>
    </xf>
    <xf numFmtId="0" fontId="0" fillId="3" borderId="0" xfId="0" applyFont="1" applyFill="1"/>
    <xf numFmtId="0" fontId="22" fillId="3" borderId="0" xfId="0" applyFont="1" applyFill="1"/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8" fillId="2" borderId="0" xfId="0" applyFont="1" applyFill="1" applyBorder="1" applyAlignment="1" applyProtection="1">
      <alignment vertical="center" wrapText="1"/>
    </xf>
    <xf numFmtId="0" fontId="18" fillId="2" borderId="0" xfId="0" applyFont="1" applyFill="1" applyBorder="1" applyAlignment="1" applyProtection="1">
      <alignment horizontal="right" vertical="top" wrapText="1"/>
    </xf>
    <xf numFmtId="0" fontId="16" fillId="3" borderId="0" xfId="0" applyFont="1" applyFill="1"/>
    <xf numFmtId="170" fontId="16" fillId="3" borderId="0" xfId="0" applyNumberFormat="1" applyFont="1" applyFill="1" applyAlignment="1">
      <alignment horizontal="righ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right" vertical="center" wrapText="1"/>
    </xf>
    <xf numFmtId="0" fontId="16" fillId="3" borderId="0" xfId="0" applyNumberFormat="1" applyFont="1" applyFill="1" applyAlignment="1">
      <alignment horizontal="right" vertical="center" wrapText="1"/>
    </xf>
    <xf numFmtId="0" fontId="25" fillId="3" borderId="0" xfId="0" applyFont="1" applyFill="1"/>
    <xf numFmtId="0" fontId="23" fillId="3" borderId="0" xfId="0" applyFont="1" applyFill="1"/>
    <xf numFmtId="0" fontId="26" fillId="3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right" vertical="center" wrapText="1"/>
    </xf>
    <xf numFmtId="170" fontId="26" fillId="3" borderId="0" xfId="0" applyNumberFormat="1" applyFont="1" applyFill="1" applyAlignment="1">
      <alignment horizontal="right" vertical="center" wrapText="1"/>
    </xf>
    <xf numFmtId="0" fontId="0" fillId="3" borderId="0" xfId="0" applyFill="1"/>
    <xf numFmtId="165" fontId="5" fillId="3" borderId="0" xfId="2" applyNumberFormat="1" applyFont="1" applyFill="1" applyBorder="1" applyAlignment="1">
      <alignment horizontal="left" vertical="center" wrapText="1"/>
    </xf>
    <xf numFmtId="165" fontId="1" fillId="2" borderId="0" xfId="0" applyNumberFormat="1" applyFont="1" applyFill="1" applyBorder="1" applyAlignment="1" applyProtection="1">
      <alignment horizontal="left" vertical="center" indent="1"/>
    </xf>
    <xf numFmtId="0" fontId="27" fillId="3" borderId="0" xfId="0" applyFont="1" applyFill="1"/>
    <xf numFmtId="0" fontId="27" fillId="0" borderId="0" xfId="0" applyFont="1"/>
    <xf numFmtId="0" fontId="0" fillId="3" borderId="0" xfId="0" applyFill="1" applyAlignment="1"/>
    <xf numFmtId="0" fontId="0" fillId="3" borderId="0" xfId="0" applyFill="1"/>
    <xf numFmtId="0" fontId="10" fillId="4" borderId="0" xfId="4" applyAlignment="1">
      <alignment horizontal="left" vertical="center" wrapText="1"/>
    </xf>
    <xf numFmtId="0" fontId="10" fillId="4" borderId="0" xfId="4" applyAlignment="1">
      <alignment horizontal="right" vertical="center" wrapText="1"/>
    </xf>
    <xf numFmtId="0" fontId="0" fillId="3" borderId="0" xfId="0" applyFill="1" applyAlignment="1">
      <alignment horizontal="left" vertical="center" wrapText="1"/>
    </xf>
    <xf numFmtId="165" fontId="1" fillId="2" borderId="0" xfId="0" applyNumberFormat="1" applyFont="1" applyFill="1" applyBorder="1" applyAlignment="1" applyProtection="1">
      <alignment horizontal="right" vertical="center" indent="2"/>
    </xf>
    <xf numFmtId="172" fontId="16" fillId="3" borderId="0" xfId="0" applyNumberFormat="1" applyFont="1" applyFill="1" applyAlignment="1">
      <alignment vertical="center"/>
    </xf>
    <xf numFmtId="172" fontId="18" fillId="5" borderId="0" xfId="1" applyNumberFormat="1" applyFont="1" applyFill="1" applyBorder="1" applyAlignment="1">
      <alignment vertical="center" wrapText="1"/>
    </xf>
    <xf numFmtId="0" fontId="10" fillId="3" borderId="0" xfId="4" applyFill="1" applyAlignment="1">
      <alignment horizontal="left" vertical="center" wrapText="1"/>
    </xf>
    <xf numFmtId="0" fontId="10" fillId="3" borderId="0" xfId="4" applyFill="1" applyAlignment="1">
      <alignment horizontal="right" vertical="center" wrapText="1"/>
    </xf>
    <xf numFmtId="165" fontId="18" fillId="3" borderId="0" xfId="0" applyNumberFormat="1" applyFont="1" applyFill="1" applyBorder="1" applyAlignment="1" applyProtection="1">
      <alignment horizontal="right" vertical="top" wrapText="1"/>
    </xf>
    <xf numFmtId="0" fontId="10" fillId="4" borderId="0" xfId="4" applyAlignment="1">
      <alignment horizontal="left" vertical="distributed" wrapText="1"/>
    </xf>
    <xf numFmtId="170" fontId="10" fillId="4" borderId="0" xfId="4" applyNumberFormat="1" applyAlignment="1">
      <alignment horizontal="right" vertical="center" wrapText="1"/>
    </xf>
    <xf numFmtId="0" fontId="10" fillId="4" borderId="0" xfId="4" applyAlignment="1">
      <alignment horizontal="left" wrapText="1"/>
    </xf>
    <xf numFmtId="0" fontId="10" fillId="4" borderId="0" xfId="4" applyAlignment="1">
      <alignment vertical="center" wrapText="1"/>
    </xf>
    <xf numFmtId="0" fontId="10" fillId="4" borderId="0" xfId="4" applyBorder="1" applyAlignment="1">
      <alignment horizontal="left" vertical="center" wrapText="1"/>
    </xf>
    <xf numFmtId="0" fontId="10" fillId="3" borderId="0" xfId="4" applyFill="1" applyAlignment="1">
      <alignment horizontal="left" vertical="distributed" wrapText="1"/>
    </xf>
    <xf numFmtId="0" fontId="10" fillId="3" borderId="0" xfId="4" applyFill="1" applyAlignment="1">
      <alignment horizontal="left" wrapText="1"/>
    </xf>
    <xf numFmtId="0" fontId="0" fillId="3" borderId="0" xfId="0" applyFill="1"/>
    <xf numFmtId="0" fontId="10" fillId="4" borderId="0" xfId="4" applyAlignment="1">
      <alignment horizontal="left" vertical="center"/>
    </xf>
    <xf numFmtId="0" fontId="10" fillId="4" borderId="0" xfId="4" applyAlignment="1">
      <alignment horizontal="right" vertical="center"/>
    </xf>
    <xf numFmtId="0" fontId="10" fillId="4" borderId="0" xfId="4" applyAlignment="1"/>
    <xf numFmtId="0" fontId="18" fillId="5" borderId="0" xfId="1" applyFont="1" applyFill="1" applyAlignment="1">
      <alignment horizontal="left" vertical="center" wrapText="1" indent="1"/>
    </xf>
    <xf numFmtId="0" fontId="16" fillId="3" borderId="0" xfId="0" applyFont="1" applyFill="1" applyAlignment="1">
      <alignment horizontal="left" vertical="center" wrapText="1" indent="1"/>
    </xf>
    <xf numFmtId="0" fontId="2" fillId="3" borderId="0" xfId="4" applyFont="1" applyFill="1" applyAlignment="1">
      <alignment horizontal="right" vertical="center" wrapText="1"/>
    </xf>
    <xf numFmtId="0" fontId="2" fillId="3" borderId="0" xfId="4" applyFont="1" applyFill="1"/>
    <xf numFmtId="0" fontId="30" fillId="3" borderId="0" xfId="0" applyFont="1" applyFill="1" applyBorder="1" applyAlignment="1" applyProtection="1">
      <alignment horizontal="right" vertical="top" wrapText="1"/>
    </xf>
    <xf numFmtId="165" fontId="30" fillId="3" borderId="0" xfId="5" applyNumberFormat="1" applyFont="1" applyFill="1" applyBorder="1" applyAlignment="1" applyProtection="1">
      <alignment horizontal="right" vertical="top" wrapText="1"/>
    </xf>
    <xf numFmtId="165" fontId="30" fillId="3" borderId="0" xfId="0" applyNumberFormat="1" applyFont="1" applyFill="1" applyBorder="1" applyAlignment="1" applyProtection="1">
      <alignment horizontal="right" vertical="top" wrapText="1"/>
    </xf>
    <xf numFmtId="0" fontId="31" fillId="3" borderId="0" xfId="1" applyFont="1" applyFill="1" applyAlignment="1">
      <alignment horizontal="left" vertical="center" wrapText="1"/>
    </xf>
    <xf numFmtId="0" fontId="31" fillId="3" borderId="0" xfId="1" applyFont="1" applyFill="1" applyAlignment="1">
      <alignment horizontal="right" vertical="center" wrapText="1"/>
    </xf>
    <xf numFmtId="0" fontId="32" fillId="3" borderId="0" xfId="1" applyFont="1" applyFill="1" applyAlignment="1">
      <alignment horizontal="left" vertical="center" wrapText="1" indent="1"/>
    </xf>
    <xf numFmtId="0" fontId="32" fillId="3" borderId="0" xfId="1" applyFont="1" applyFill="1" applyAlignment="1">
      <alignment horizontal="right" vertical="center" wrapText="1"/>
    </xf>
    <xf numFmtId="0" fontId="32" fillId="5" borderId="0" xfId="1" applyFont="1" applyFill="1" applyAlignment="1">
      <alignment horizontal="left" vertical="center" wrapText="1" indent="1"/>
    </xf>
    <xf numFmtId="0" fontId="32" fillId="5" borderId="0" xfId="1" applyFont="1" applyFill="1" applyAlignment="1">
      <alignment horizontal="righ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0" fontId="31" fillId="5" borderId="0" xfId="1" applyFont="1" applyFill="1" applyAlignment="1">
      <alignment horizontal="left" vertical="center" wrapText="1"/>
    </xf>
    <xf numFmtId="0" fontId="31" fillId="5" borderId="0" xfId="1" applyFont="1" applyFill="1" applyAlignment="1">
      <alignment horizontal="right" vertical="center" wrapText="1"/>
    </xf>
    <xf numFmtId="0" fontId="10" fillId="4" borderId="0" xfId="4" applyBorder="1" applyAlignment="1">
      <alignment horizontal="right" vertical="center" wrapText="1"/>
    </xf>
    <xf numFmtId="0" fontId="10" fillId="4" borderId="0" xfId="4" applyNumberFormat="1" applyAlignment="1">
      <alignment horizontal="right" vertical="center" wrapText="1"/>
    </xf>
    <xf numFmtId="0" fontId="16" fillId="5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right" vertical="center" wrapText="1"/>
    </xf>
    <xf numFmtId="0" fontId="16" fillId="5" borderId="0" xfId="0" applyNumberFormat="1" applyFont="1" applyFill="1" applyAlignment="1">
      <alignment horizontal="right" vertical="center" wrapText="1"/>
    </xf>
    <xf numFmtId="170" fontId="18" fillId="5" borderId="0" xfId="0" applyNumberFormat="1" applyFont="1" applyFill="1" applyBorder="1" applyAlignment="1">
      <alignment horizontal="right" vertical="center" wrapText="1"/>
    </xf>
    <xf numFmtId="170" fontId="32" fillId="5" borderId="0" xfId="1" applyNumberFormat="1" applyFont="1" applyFill="1" applyAlignment="1">
      <alignment horizontal="right" vertical="center" wrapText="1"/>
    </xf>
    <xf numFmtId="170" fontId="18" fillId="5" borderId="0" xfId="1" applyNumberFormat="1" applyFont="1" applyFill="1" applyAlignment="1">
      <alignment horizontal="right" vertical="center" wrapText="1"/>
    </xf>
    <xf numFmtId="170" fontId="31" fillId="5" borderId="0" xfId="1" applyNumberFormat="1" applyFont="1" applyFill="1" applyAlignment="1">
      <alignment horizontal="right" vertical="center" wrapText="1"/>
    </xf>
    <xf numFmtId="170" fontId="1" fillId="5" borderId="0" xfId="1" applyNumberFormat="1" applyFont="1" applyFill="1" applyAlignment="1">
      <alignment horizontal="right" vertical="center" wrapText="1"/>
    </xf>
    <xf numFmtId="170" fontId="32" fillId="3" borderId="0" xfId="1" applyNumberFormat="1" applyFont="1" applyFill="1" applyAlignment="1">
      <alignment horizontal="right" vertical="center" wrapText="1"/>
    </xf>
    <xf numFmtId="170" fontId="31" fillId="3" borderId="0" xfId="1" applyNumberFormat="1" applyFont="1" applyFill="1" applyAlignment="1">
      <alignment horizontal="right" vertical="center" wrapText="1"/>
    </xf>
    <xf numFmtId="0" fontId="2" fillId="2" borderId="0" xfId="1" applyFont="1" applyFill="1" applyBorder="1" applyAlignment="1">
      <alignment horizontal="left" vertical="center" wrapText="1"/>
    </xf>
    <xf numFmtId="0" fontId="1" fillId="2" borderId="0" xfId="1" applyFont="1" applyFill="1" applyBorder="1" applyAlignment="1">
      <alignment horizontal="left" vertical="center" wrapText="1"/>
    </xf>
    <xf numFmtId="164" fontId="1" fillId="2" borderId="0" xfId="1" applyNumberFormat="1" applyFont="1" applyFill="1" applyBorder="1" applyAlignment="1">
      <alignment horizontal="left" vertical="center" wrapText="1"/>
    </xf>
    <xf numFmtId="165" fontId="1" fillId="2" borderId="0" xfId="1" applyNumberFormat="1" applyFont="1" applyFill="1" applyAlignment="1">
      <alignment horizontal="left" vertical="center" wrapText="1"/>
    </xf>
    <xf numFmtId="0" fontId="1" fillId="2" borderId="0" xfId="1" applyFont="1" applyFill="1" applyBorder="1" applyAlignment="1">
      <alignment horizontal="right" vertical="center" wrapText="1"/>
    </xf>
    <xf numFmtId="165" fontId="1" fillId="2" borderId="0" xfId="1" applyNumberFormat="1" applyFont="1" applyFill="1" applyBorder="1" applyAlignment="1">
      <alignment horizontal="right" vertical="center" wrapText="1"/>
    </xf>
    <xf numFmtId="165" fontId="2" fillId="2" borderId="0" xfId="1" applyNumberFormat="1" applyFont="1" applyFill="1" applyBorder="1" applyAlignment="1">
      <alignment horizontal="right" vertical="center" wrapText="1"/>
    </xf>
    <xf numFmtId="165" fontId="2" fillId="2" borderId="0" xfId="1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3" borderId="0" xfId="4" applyFont="1" applyFill="1" applyAlignment="1">
      <alignment vertical="center"/>
    </xf>
    <xf numFmtId="4" fontId="3" fillId="3" borderId="0" xfId="2" applyNumberFormat="1" applyFont="1" applyFill="1" applyBorder="1" applyAlignment="1">
      <alignment horizontal="right" vertical="distributed" wrapText="1"/>
    </xf>
    <xf numFmtId="0" fontId="3" fillId="3" borderId="0" xfId="2" applyNumberFormat="1" applyFill="1" applyBorder="1" applyAlignment="1">
      <alignment horizontal="right" vertical="center" wrapText="1"/>
    </xf>
    <xf numFmtId="0" fontId="33" fillId="6" borderId="0" xfId="7" applyAlignment="1">
      <alignment horizontal="left" vertical="center" wrapText="1"/>
    </xf>
    <xf numFmtId="0" fontId="33" fillId="6" borderId="0" xfId="7" applyAlignment="1">
      <alignment horizontal="right" vertical="center" wrapText="1"/>
    </xf>
    <xf numFmtId="170" fontId="33" fillId="6" borderId="0" xfId="7" applyNumberFormat="1" applyAlignment="1">
      <alignment horizontal="right" vertical="center" wrapText="1"/>
    </xf>
    <xf numFmtId="0" fontId="33" fillId="6" borderId="0" xfId="7"/>
    <xf numFmtId="170" fontId="16" fillId="5" borderId="0" xfId="0" applyNumberFormat="1" applyFont="1" applyFill="1" applyAlignment="1">
      <alignment horizontal="right" vertical="center" wrapText="1"/>
    </xf>
    <xf numFmtId="0" fontId="16" fillId="5" borderId="0" xfId="0" applyFont="1" applyFill="1" applyAlignment="1">
      <alignment horizontal="left" vertical="center" wrapText="1" indent="2"/>
    </xf>
    <xf numFmtId="0" fontId="32" fillId="5" borderId="0" xfId="1" applyFont="1" applyFill="1" applyAlignment="1">
      <alignment horizontal="left" vertical="center" wrapText="1" indent="2"/>
    </xf>
    <xf numFmtId="0" fontId="16" fillId="3" borderId="0" xfId="0" applyFont="1" applyFill="1" applyAlignment="1">
      <alignment horizontal="left" vertical="center" wrapText="1" indent="2"/>
    </xf>
    <xf numFmtId="0" fontId="32" fillId="3" borderId="0" xfId="1" applyFont="1" applyFill="1" applyAlignment="1">
      <alignment horizontal="left" vertical="center" wrapText="1" indent="2"/>
    </xf>
    <xf numFmtId="171" fontId="3" fillId="7" borderId="0" xfId="2" applyNumberFormat="1" applyFill="1" applyBorder="1" applyAlignment="1">
      <alignment horizontal="left" vertical="center" wrapText="1"/>
    </xf>
    <xf numFmtId="164" fontId="3" fillId="7" borderId="0" xfId="2" applyNumberFormat="1" applyFill="1" applyBorder="1" applyAlignment="1">
      <alignment horizontal="left" vertical="center" wrapText="1"/>
    </xf>
    <xf numFmtId="49" fontId="3" fillId="7" borderId="0" xfId="2" applyNumberFormat="1" applyFill="1" applyBorder="1" applyAlignment="1">
      <alignment horizontal="left" vertical="center" wrapText="1" readingOrder="1"/>
    </xf>
    <xf numFmtId="168" fontId="4" fillId="7" borderId="0" xfId="2" applyNumberFormat="1" applyFont="1" applyFill="1" applyBorder="1" applyAlignment="1">
      <alignment horizontal="left" vertical="center" wrapText="1"/>
    </xf>
    <xf numFmtId="49" fontId="3" fillId="7" borderId="0" xfId="2" applyNumberFormat="1" applyFill="1" applyBorder="1" applyAlignment="1">
      <alignment horizontal="left" vertical="center" wrapText="1"/>
    </xf>
    <xf numFmtId="0" fontId="3" fillId="7" borderId="0" xfId="2" applyNumberFormat="1" applyFill="1" applyBorder="1" applyAlignment="1">
      <alignment horizontal="right" vertical="center" wrapText="1"/>
    </xf>
    <xf numFmtId="0" fontId="5" fillId="7" borderId="0" xfId="2" applyNumberFormat="1" applyFont="1" applyFill="1" applyBorder="1" applyAlignment="1">
      <alignment horizontal="left" vertical="center" wrapText="1"/>
    </xf>
    <xf numFmtId="49" fontId="6" fillId="7" borderId="0" xfId="2" applyNumberFormat="1" applyFont="1" applyFill="1" applyBorder="1" applyAlignment="1">
      <alignment horizontal="left" vertical="center" wrapText="1"/>
    </xf>
    <xf numFmtId="170" fontId="3" fillId="7" borderId="0" xfId="2" applyNumberFormat="1" applyFill="1" applyAlignment="1">
      <alignment horizontal="right" vertical="center" wrapText="1"/>
    </xf>
    <xf numFmtId="165" fontId="5" fillId="7" borderId="0" xfId="2" applyNumberFormat="1" applyFont="1" applyFill="1" applyBorder="1" applyAlignment="1">
      <alignment horizontal="left" vertical="center" wrapText="1"/>
    </xf>
    <xf numFmtId="0" fontId="0" fillId="7" borderId="0" xfId="0" applyFill="1" applyAlignment="1">
      <alignment vertical="center"/>
    </xf>
    <xf numFmtId="0" fontId="10" fillId="7" borderId="0" xfId="4" applyFill="1" applyBorder="1" applyAlignment="1">
      <alignment horizontal="left" vertical="center"/>
    </xf>
    <xf numFmtId="164" fontId="10" fillId="7" borderId="0" xfId="4" applyNumberFormat="1" applyFill="1" applyBorder="1" applyAlignment="1">
      <alignment horizontal="left" vertical="center"/>
    </xf>
    <xf numFmtId="165" fontId="10" fillId="7" borderId="0" xfId="4" applyNumberFormat="1" applyFill="1" applyAlignment="1">
      <alignment horizontal="left" vertical="center"/>
    </xf>
    <xf numFmtId="0" fontId="10" fillId="7" borderId="0" xfId="4" applyFill="1" applyBorder="1" applyAlignment="1">
      <alignment horizontal="right" vertical="center" indent="2"/>
    </xf>
    <xf numFmtId="165" fontId="10" fillId="7" borderId="0" xfId="4" applyNumberFormat="1" applyFill="1" applyBorder="1" applyAlignment="1">
      <alignment horizontal="right" vertical="center" indent="2"/>
    </xf>
    <xf numFmtId="165" fontId="10" fillId="7" borderId="0" xfId="4" applyNumberFormat="1" applyFill="1" applyBorder="1" applyAlignment="1">
      <alignment horizontal="left" vertical="center"/>
    </xf>
    <xf numFmtId="0" fontId="10" fillId="7" borderId="0" xfId="4" applyFill="1"/>
    <xf numFmtId="0" fontId="10" fillId="7" borderId="0" xfId="4" applyFill="1" applyAlignment="1">
      <alignment vertical="center"/>
    </xf>
    <xf numFmtId="0" fontId="10" fillId="7" borderId="0" xfId="4" applyFill="1" applyAlignment="1">
      <alignment horizontal="left" vertical="distributed" wrapText="1"/>
    </xf>
    <xf numFmtId="0" fontId="10" fillId="7" borderId="0" xfId="4" applyFill="1" applyAlignment="1">
      <alignment horizontal="left" wrapText="1"/>
    </xf>
    <xf numFmtId="0" fontId="10" fillId="7" borderId="0" xfId="4" applyFill="1" applyAlignment="1">
      <alignment horizontal="left" vertical="center" wrapText="1"/>
    </xf>
    <xf numFmtId="170" fontId="10" fillId="7" borderId="0" xfId="4" applyNumberFormat="1" applyFill="1" applyAlignment="1">
      <alignment horizontal="right" vertical="center" wrapText="1"/>
    </xf>
    <xf numFmtId="0" fontId="10" fillId="7" borderId="0" xfId="4" applyFill="1" applyAlignment="1">
      <alignment horizontal="right" vertical="center" wrapText="1"/>
    </xf>
    <xf numFmtId="0" fontId="12" fillId="3" borderId="0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3" borderId="0" xfId="6" applyFont="1" applyFill="1">
      <alignment horizontal="left" vertical="center" wrapText="1"/>
    </xf>
    <xf numFmtId="0" fontId="3" fillId="3" borderId="0" xfId="2" applyFill="1">
      <alignment horizontal="left" vertical="center" wrapText="1"/>
    </xf>
    <xf numFmtId="0" fontId="19" fillId="3" borderId="0" xfId="6" applyFont="1" applyFill="1" applyAlignment="1">
      <alignment horizontal="left" vertical="center" wrapText="1"/>
    </xf>
    <xf numFmtId="0" fontId="15" fillId="3" borderId="0" xfId="0" applyFont="1" applyFill="1" applyBorder="1" applyAlignment="1" applyProtection="1">
      <alignment horizontal="left" vertical="center" wrapText="1"/>
    </xf>
    <xf numFmtId="0" fontId="19" fillId="3" borderId="0" xfId="0" applyFont="1" applyFill="1" applyBorder="1" applyAlignment="1" applyProtection="1">
      <alignment horizontal="left" vertical="center" wrapText="1"/>
    </xf>
    <xf numFmtId="0" fontId="20" fillId="3" borderId="0" xfId="1" applyFont="1" applyFill="1" applyBorder="1" applyAlignment="1">
      <alignment horizontal="left" vertical="center" wrapText="1"/>
    </xf>
    <xf numFmtId="0" fontId="28" fillId="3" borderId="0" xfId="3" applyFont="1" applyFill="1" applyAlignment="1">
      <alignment vertical="center"/>
    </xf>
    <xf numFmtId="0" fontId="29" fillId="3" borderId="0" xfId="0" applyFont="1" applyFill="1" applyBorder="1" applyAlignment="1" applyProtection="1">
      <alignment vertical="center" wrapText="1"/>
    </xf>
    <xf numFmtId="0" fontId="3" fillId="3" borderId="0" xfId="0" applyNumberFormat="1" applyFont="1" applyFill="1" applyBorder="1" applyAlignment="1" applyProtection="1">
      <alignment horizontal="left" vertical="distributed" wrapText="1"/>
    </xf>
    <xf numFmtId="49" fontId="7" fillId="3" borderId="0" xfId="2" applyNumberFormat="1" applyFont="1" applyFill="1" applyAlignment="1">
      <alignment horizontal="left" vertical="distributed"/>
    </xf>
    <xf numFmtId="49" fontId="28" fillId="3" borderId="0" xfId="3" applyNumberFormat="1" applyFont="1" applyFill="1" applyAlignment="1">
      <alignment horizontal="left" vertical="center"/>
    </xf>
    <xf numFmtId="0" fontId="28" fillId="0" borderId="0" xfId="3" applyFont="1" applyAlignment="1"/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4" fillId="9" borderId="0" xfId="2" applyNumberFormat="1" applyFill="true" applyBorder="1" applyAlignment="1" applyFont="true">
      <alignment horizontal="left" vertical="center" wrapText="1"/>
    </xf>
    <xf numFmtId="164" fontId="35" fillId="9" borderId="0" xfId="2" applyNumberFormat="1" applyFill="true" applyBorder="1" applyAlignment="1" applyFont="true">
      <alignment horizontal="left" vertical="center" wrapText="1"/>
    </xf>
    <xf numFmtId="49" fontId="36" fillId="9" borderId="0" xfId="2" applyNumberFormat="1" applyFill="true" applyBorder="1" applyAlignment="1" applyFont="true">
      <alignment horizontal="left" vertical="center" wrapText="1" readingOrder="1"/>
    </xf>
    <xf numFmtId="168" fontId="37" fillId="9" borderId="0" xfId="2" applyNumberFormat="1" applyFont="true" applyFill="true" applyBorder="1" applyAlignment="1">
      <alignment horizontal="left" vertical="center" wrapText="1"/>
    </xf>
    <xf numFmtId="49" fontId="38" fillId="9" borderId="0" xfId="2" applyNumberFormat="1" applyFill="true" applyBorder="1" applyAlignment="1" applyFont="true">
      <alignment horizontal="left" vertical="center" wrapText="1"/>
    </xf>
    <xf numFmtId="49" fontId="39" fillId="9" borderId="0" xfId="2" applyNumberFormat="1" applyFill="true" applyBorder="1" applyAlignment="1" applyFont="true">
      <alignment horizontal="left" vertical="center" wrapText="1"/>
    </xf>
    <xf numFmtId="0" fontId="40" fillId="9" borderId="0" xfId="2" applyNumberFormat="1" applyFill="true" applyBorder="1" applyAlignment="1" applyFont="true">
      <alignment horizontal="right" vertical="center" wrapText="1"/>
    </xf>
    <xf numFmtId="0" fontId="41" fillId="9" borderId="0" xfId="2" applyNumberFormat="1" applyFont="true" applyFill="true" applyBorder="1" applyAlignment="1">
      <alignment horizontal="left" vertical="center" wrapText="1"/>
    </xf>
    <xf numFmtId="49" fontId="42" fillId="9" borderId="0" xfId="2" applyNumberFormat="1" applyFont="true" applyFill="true" applyBorder="1" applyAlignment="1">
      <alignment horizontal="left" vertical="center" wrapText="1"/>
    </xf>
    <xf numFmtId="170" fontId="43" fillId="9" borderId="0" xfId="2" applyNumberFormat="1" applyFill="true" applyAlignment="1" applyFont="true">
      <alignment horizontal="right" vertical="center" wrapText="1"/>
    </xf>
    <xf numFmtId="170" fontId="44" fillId="9" borderId="0" xfId="2" applyNumberFormat="1" applyFill="true" applyAlignment="1" applyFont="true">
      <alignment horizontal="right" vertical="center" wrapText="1"/>
    </xf>
    <xf numFmtId="165" fontId="45" fillId="9" borderId="0" xfId="2" applyNumberFormat="1" applyFont="true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0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46" fillId="9" borderId="0" xfId="2" applyNumberFormat="1" applyFill="true" applyBorder="1" applyAlignment="1" applyFont="true">
      <alignment horizontal="left" vertical="center" wrapText="1"/>
    </xf>
    <xf numFmtId="164" fontId="47" fillId="9" borderId="0" xfId="2" applyNumberFormat="1" applyFill="true" applyBorder="1" applyAlignment="1" applyFont="true">
      <alignment horizontal="left" vertical="center" wrapText="1"/>
    </xf>
    <xf numFmtId="49" fontId="48" fillId="9" borderId="0" xfId="2" applyNumberFormat="1" applyFill="true" applyBorder="1" applyAlignment="1" applyFont="true">
      <alignment horizontal="left" vertical="center" wrapText="1" readingOrder="1"/>
    </xf>
    <xf numFmtId="168" fontId="49" fillId="9" borderId="0" xfId="2" applyNumberFormat="1" applyFont="true" applyFill="true" applyBorder="1" applyAlignment="1">
      <alignment horizontal="left" vertical="center" wrapText="1"/>
    </xf>
    <xf numFmtId="49" fontId="50" fillId="9" borderId="0" xfId="2" applyNumberFormat="1" applyFill="true" applyBorder="1" applyAlignment="1" applyFont="true">
      <alignment horizontal="left" vertical="center" wrapText="1"/>
    </xf>
    <xf numFmtId="49" fontId="51" fillId="9" borderId="0" xfId="2" applyNumberFormat="1" applyFill="true" applyBorder="1" applyAlignment="1" applyFont="true">
      <alignment horizontal="left" vertical="center" wrapText="1"/>
    </xf>
    <xf numFmtId="0" fontId="52" fillId="9" borderId="0" xfId="2" applyNumberFormat="1" applyFill="true" applyBorder="1" applyAlignment="1" applyFont="true">
      <alignment horizontal="right" vertical="center" wrapText="1"/>
    </xf>
    <xf numFmtId="0" fontId="53" fillId="9" borderId="0" xfId="2" applyNumberFormat="1" applyFont="true" applyFill="true" applyBorder="1" applyAlignment="1">
      <alignment horizontal="left" vertical="center" wrapText="1"/>
    </xf>
    <xf numFmtId="49" fontId="54" fillId="9" borderId="0" xfId="2" applyNumberFormat="1" applyFont="true" applyFill="true" applyBorder="1" applyAlignment="1">
      <alignment horizontal="left" vertical="center" wrapText="1"/>
    </xf>
    <xf numFmtId="170" fontId="55" fillId="9" borderId="0" xfId="2" applyNumberFormat="1" applyFill="true" applyAlignment="1" applyFont="true">
      <alignment horizontal="right" vertical="center" wrapText="1"/>
    </xf>
    <xf numFmtId="170" fontId="56" fillId="9" borderId="0" xfId="2" applyNumberFormat="1" applyFill="true" applyAlignment="1" applyFont="true">
      <alignment horizontal="right" vertical="center" wrapText="1"/>
    </xf>
    <xf numFmtId="165" fontId="57" fillId="9" borderId="0" xfId="2" applyNumberFormat="1" applyFont="true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0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3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3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0" fontId="3" fillId="3" borderId="0" xfId="2" applyNumberFormat="1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174" fontId="3" fillId="9" borderId="0" xfId="2" applyNumberFormat="true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4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58" fillId="9" borderId="0" xfId="2" applyNumberFormat="1" applyFill="true" applyBorder="1" applyAlignment="1" applyFont="true">
      <alignment horizontal="left" vertical="center" wrapText="1"/>
    </xf>
    <xf numFmtId="164" fontId="59" fillId="9" borderId="0" xfId="2" applyNumberFormat="1" applyFill="true" applyBorder="1" applyAlignment="1" applyFont="true">
      <alignment horizontal="left" vertical="center" wrapText="1"/>
    </xf>
    <xf numFmtId="49" fontId="60" fillId="9" borderId="0" xfId="2" applyNumberFormat="1" applyFill="true" applyBorder="1" applyAlignment="1" applyFont="true">
      <alignment horizontal="left" vertical="center" wrapText="1" readingOrder="1"/>
    </xf>
    <xf numFmtId="168" fontId="61" fillId="9" borderId="0" xfId="2" applyNumberFormat="1" applyFont="true" applyFill="true" applyBorder="1" applyAlignment="1">
      <alignment horizontal="left" vertical="center" wrapText="1"/>
    </xf>
    <xf numFmtId="49" fontId="62" fillId="9" borderId="0" xfId="2" applyNumberFormat="1" applyFill="true" applyBorder="1" applyAlignment="1" applyFont="true">
      <alignment horizontal="left" vertical="center" wrapText="1"/>
    </xf>
    <xf numFmtId="49" fontId="63" fillId="9" borderId="0" xfId="2" applyNumberFormat="1" applyFill="true" applyBorder="1" applyAlignment="1" applyFont="true">
      <alignment horizontal="left" vertical="center" wrapText="1"/>
    </xf>
    <xf numFmtId="0" fontId="64" fillId="9" borderId="0" xfId="2" applyNumberFormat="1" applyFill="true" applyBorder="1" applyAlignment="1" applyFont="true">
      <alignment horizontal="right" vertical="center" wrapText="1"/>
    </xf>
    <xf numFmtId="0" fontId="65" fillId="9" borderId="0" xfId="2" applyNumberFormat="1" applyFont="true" applyFill="true" applyBorder="1" applyAlignment="1">
      <alignment horizontal="left" vertical="center" wrapText="1"/>
    </xf>
    <xf numFmtId="49" fontId="66" fillId="9" borderId="0" xfId="2" applyNumberFormat="1" applyFont="true" applyFill="true" applyBorder="1" applyAlignment="1">
      <alignment horizontal="left" vertical="center" wrapText="1"/>
    </xf>
    <xf numFmtId="170" fontId="67" fillId="9" borderId="0" xfId="2" applyNumberFormat="1" applyFill="true" applyAlignment="1" applyFont="true">
      <alignment horizontal="right" vertical="center" wrapText="1"/>
    </xf>
    <xf numFmtId="170" fontId="68" fillId="9" borderId="0" xfId="2" applyNumberFormat="1" applyFill="true" applyAlignment="1" applyFont="true">
      <alignment horizontal="right" vertical="center" wrapText="1"/>
    </xf>
    <xf numFmtId="165" fontId="69" fillId="9" borderId="0" xfId="2" applyNumberFormat="1" applyFont="true" applyFill="true" applyBorder="1" applyAlignment="1">
      <alignment horizontal="left" vertical="center" wrapText="1"/>
    </xf>
    <xf numFmtId="171" fontId="3" fillId="3" borderId="0" xfId="2" applyNumberFormat="1" applyFill="1" applyBorder="1" applyAlignment="1">
      <alignment horizontal="left" vertical="center" wrapText="1"/>
    </xf>
    <xf numFmtId="164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 readingOrder="1"/>
    </xf>
    <xf numFmtId="168" fontId="4" fillId="3" borderId="0" xfId="2" applyNumberFormat="1" applyFon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49" fontId="3" fillId="3" borderId="0" xfId="2" applyNumberFormat="1" applyFill="1" applyBorder="1" applyAlignment="1">
      <alignment horizontal="left" vertical="center" wrapText="1"/>
    </xf>
    <xf numFmtId="174" fontId="3" fillId="3" borderId="0" xfId="2" applyNumberFormat="true" applyFill="1" applyBorder="1" applyAlignment="1">
      <alignment horizontal="right" vertical="center" wrapText="1"/>
    </xf>
    <xf numFmtId="0" fontId="5" fillId="3" borderId="0" xfId="2" applyNumberFormat="1" applyFont="1" applyFill="1" applyBorder="1" applyAlignment="1">
      <alignment horizontal="left" vertical="center" wrapText="1"/>
    </xf>
    <xf numFmtId="49" fontId="6" fillId="3" borderId="0" xfId="2" applyNumberFormat="1" applyFont="1" applyFill="1" applyBorder="1" applyAlignment="1">
      <alignment horizontal="left" vertical="center" wrapText="1"/>
    </xf>
    <xf numFmtId="170" fontId="3" fillId="3" borderId="0" xfId="2" applyNumberFormat="1" applyFill="1" applyAlignment="1">
      <alignment horizontal="right" vertical="center" wrapText="1"/>
    </xf>
    <xf numFmtId="170" fontId="3" fillId="3" borderId="0" xfId="2" applyNumberFormat="1" applyFill="1" applyAlignment="1">
      <alignment horizontal="right" vertical="center" wrapText="1"/>
    </xf>
    <xf numFmtId="165" fontId="5" fillId="3" borderId="0" xfId="2" applyNumberFormat="1" applyFont="1" applyFill="1" applyBorder="1" applyAlignment="1">
      <alignment horizontal="left" vertical="center" wrapText="1"/>
    </xf>
    <xf numFmtId="171" fontId="3" fillId="9" borderId="0" xfId="2" applyNumberFormat="1" applyFill="true" applyBorder="1" applyAlignment="1">
      <alignment horizontal="left" vertical="center" wrapText="1"/>
    </xf>
    <xf numFmtId="164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 readingOrder="1"/>
    </xf>
    <xf numFmtId="168" fontId="4" fillId="9" borderId="0" xfId="2" applyNumberFormat="1" applyFon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49" fontId="3" fillId="9" borderId="0" xfId="2" applyNumberFormat="1" applyFill="true" applyBorder="1" applyAlignment="1">
      <alignment horizontal="left" vertical="center" wrapText="1"/>
    </xf>
    <xf numFmtId="0" fontId="3" fillId="9" borderId="0" xfId="2" applyNumberFormat="1" applyFill="true" applyBorder="1" applyAlignment="1">
      <alignment horizontal="right" vertical="center" wrapText="1"/>
    </xf>
    <xf numFmtId="0" fontId="5" fillId="9" borderId="0" xfId="2" applyNumberFormat="1" applyFont="1" applyFill="true" applyBorder="1" applyAlignment="1">
      <alignment horizontal="left" vertical="center" wrapText="1"/>
    </xf>
    <xf numFmtId="49" fontId="6" fillId="9" borderId="0" xfId="2" applyNumberFormat="1" applyFont="1" applyFill="true" applyBorder="1" applyAlignment="1">
      <alignment horizontal="left" vertical="center" wrapText="1"/>
    </xf>
    <xf numFmtId="170" fontId="3" fillId="9" borderId="0" xfId="2" applyNumberFormat="1" applyFill="true" applyAlignment="1">
      <alignment horizontal="right" vertical="center" wrapText="1"/>
    </xf>
    <xf numFmtId="170" fontId="3" fillId="9" borderId="0" xfId="2" applyNumberFormat="1" applyFill="true" applyAlignment="1">
      <alignment horizontal="right" vertical="center" wrapText="1"/>
    </xf>
    <xf numFmtId="165" fontId="5" fillId="9" borderId="0" xfId="2" applyNumberFormat="1" applyFont="1" applyFill="true" applyBorder="1" applyAlignment="1">
      <alignment horizontal="left" vertical="center" wrapText="1"/>
    </xf>
  </cellXfs>
  <cellStyles count="8">
    <cellStyle name="Билайн H2" xfId="6"/>
    <cellStyle name="Гиперссылка" xfId="3" builtinId="8"/>
    <cellStyle name="Заголовок таблицы" xfId="1"/>
    <cellStyle name="Нейтральный" xfId="4" builtinId="28"/>
    <cellStyle name="Обычный" xfId="0" builtinId="0"/>
    <cellStyle name="Обычный Билайн" xfId="2"/>
    <cellStyle name="Финансовый" xfId="5" builtinId="3"/>
    <cellStyle name="Хороший" xfId="7" builtinId="26"/>
  </cellStyles>
  <dxfs count="0"/>
  <tableStyles count="0" defaultTableStyle="TableStyleMedium9" defaultPivotStyle="PivotStyleLight16"/>
  <colors>
    <mruColors>
      <color rgb="FFFFCC66"/>
      <color rgb="FFF8F5F3"/>
      <color rgb="FFE5D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1030266786271968E-4"/>
          <c:w val="1"/>
          <c:h val="0.995370370370370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[0]!coreAggregatorValueTableHeaderLink</c:f>
              <c:strCache>
                <c:ptCount val="1"/>
                <c:pt idx="0">
                  <c:v>Сумма, ${REPORT_HELPER.formatUnit("CURRENCY")}</c:v>
                </c:pt>
              </c:strCache>
            </c:strRef>
          </c:tx>
          <c:invertIfNegative val="0"/>
          <c:val>
            <c:numRef>
              <c:f>[0]!coreAggregatorSummas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03904"/>
        <c:axId val="59401344"/>
      </c:barChart>
      <c:catAx>
        <c:axId val="86203904"/>
        <c:scaling>
          <c:orientation val="maxMin"/>
        </c:scaling>
        <c:delete val="1"/>
        <c:axPos val="l"/>
        <c:majorTickMark val="out"/>
        <c:minorTickMark val="none"/>
        <c:tickLblPos val="none"/>
        <c:crossAx val="59401344"/>
        <c:crosses val="autoZero"/>
        <c:auto val="1"/>
        <c:lblAlgn val="ctr"/>
        <c:lblOffset val="100"/>
        <c:noMultiLvlLbl val="0"/>
      </c:catAx>
      <c:valAx>
        <c:axId val="59401344"/>
        <c:scaling>
          <c:orientation val="minMax"/>
        </c:scaling>
        <c:delete val="1"/>
        <c:axPos val="t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one"/>
        <c:crossAx val="86203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[0]!callDetailsHistoryHeaderLink</c:f>
              <c:strCache>
                <c:ptCount val="1"/>
                <c:pt idx="0">
                  <c:v>Расход, ${REPORT_HELPER.formatUnit("CURRENCY")}</c:v>
                </c:pt>
              </c:strCache>
            </c:strRef>
          </c:tx>
          <c:invertIfNegative val="0"/>
          <c:val>
            <c:numRef>
              <c:f>[0]!callDetailHistorySummas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589376"/>
        <c:axId val="59403072"/>
      </c:barChart>
      <c:catAx>
        <c:axId val="87589376"/>
        <c:scaling>
          <c:orientation val="maxMin"/>
        </c:scaling>
        <c:delete val="1"/>
        <c:axPos val="l"/>
        <c:majorTickMark val="out"/>
        <c:minorTickMark val="none"/>
        <c:tickLblPos val="none"/>
        <c:crossAx val="59403072"/>
        <c:crosses val="autoZero"/>
        <c:auto val="1"/>
        <c:lblAlgn val="ctr"/>
        <c:lblOffset val="100"/>
        <c:noMultiLvlLbl val="0"/>
      </c:catAx>
      <c:valAx>
        <c:axId val="59403072"/>
        <c:scaling>
          <c:orientation val="minMax"/>
        </c:scaling>
        <c:delete val="1"/>
        <c:axPos val="t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one"/>
        <c:crossAx val="87589376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hyperlink" Target="#sheet2Ref"/>
  <Relationship Id="rId3" Type="http://schemas.openxmlformats.org/officeDocument/2006/relationships/image" Target="../media/image2.jpg"/>
  <Relationship Id="rId4" Type="http://schemas.openxmlformats.org/officeDocument/2006/relationships/chart" Target="../charts/chart1.xml"/>
  <Relationship Id="rId5" Type="http://schemas.openxmlformats.org/officeDocument/2006/relationships/chart" Target="../charts/chart2.xml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hyperlink" Target="#sheet1Ref"/>
  <Relationship Id="rId2" Type="http://schemas.openxmlformats.org/officeDocument/2006/relationships/image" Target="../media/image4.jp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3.jpeg"/>
</Relationships>

</file>

<file path=xl/drawings/_rels/vmlDrawing2.vml.rels><?xml version="1.0" encoding="UTF-8"?>

<Relationships xmlns="http://schemas.openxmlformats.org/package/2006/relationships">
  <Relationship Id="rId1" Type="http://schemas.openxmlformats.org/officeDocument/2006/relationships/image" Target="../media/image3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1333500</xdr:colOff>
      <xdr:row>2</xdr:row>
      <xdr:rowOff>66675</xdr:rowOff>
    </xdr:to>
    <xdr:pic>
      <xdr:nvPicPr>
        <xdr:cNvPr id="12" name="beelineLogo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342900"/>
          <a:ext cx="13335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1847850</xdr:colOff>
      <xdr:row>68</xdr:row>
      <xdr:rowOff>57150</xdr:rowOff>
    </xdr:to>
    <xdr:pic>
      <xdr:nvPicPr>
        <xdr:cNvPr id="3" name="linkPicture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39528750"/>
          <a:ext cx="184785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247649</xdr:colOff>
      <xdr:row>17</xdr:row>
      <xdr:rowOff>1</xdr:rowOff>
    </xdr:from>
    <xdr:to>
      <xdr:col>5</xdr:col>
      <xdr:colOff>2238374</xdr:colOff>
      <xdr:row>29</xdr:row>
      <xdr:rowOff>312421</xdr:rowOff>
    </xdr:to>
    <xdr:graphicFrame macro="">
      <xdr:nvGraphicFramePr>
        <xdr:cNvPr id="4" name="coreAggregator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95419</xdr:colOff>
      <xdr:row>33</xdr:row>
      <xdr:rowOff>4763</xdr:rowOff>
    </xdr:from>
    <xdr:to>
      <xdr:col>4</xdr:col>
      <xdr:colOff>2283788</xdr:colOff>
      <xdr:row>63</xdr:row>
      <xdr:rowOff>314326</xdr:rowOff>
    </xdr:to>
    <xdr:graphicFrame macro="">
      <xdr:nvGraphicFramePr>
        <xdr:cNvPr id="5" name="callDetailHistor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306</xdr:row>
      <xdr:rowOff>0</xdr:rowOff>
    </xdr:from>
    <xdr:to>
      <xdr:col>1</xdr:col>
      <xdr:colOff>306022</xdr:colOff>
      <xdr:row>307</xdr:row>
      <xdr:rowOff>47625</xdr:rowOff>
    </xdr:to>
    <xdr:pic>
      <xdr:nvPicPr>
        <xdr:cNvPr id="2" name="linkPicture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618" y="4661647"/>
          <a:ext cx="14001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  <Relationship Id="rId3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drawing" Target="../drawings/drawing2.xml"/>
  <Relationship Id="rId3" Type="http://schemas.openxmlformats.org/officeDocument/2006/relationships/vmlDrawing" Target="../drawings/vmlDrawing2.v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1"/>
    <outlinePr summaryBelow="0"/>
  </sheetPr>
  <dimension ref="A1:F144"/>
  <sheetViews>
    <sheetView showGridLines="0" tabSelected="1" topLeftCell="A31" zoomScaleNormal="100" zoomScaleSheetLayoutView="70" workbookViewId="0">
      <selection activeCell="F37" sqref="F37"/>
    </sheetView>
  </sheetViews>
  <sheetFormatPr defaultRowHeight="15" outlineLevelRow="2"/>
  <cols>
    <col min="16" max="16384" style="61" width="9.140625" collapsed="true"/>
    <col min="15" max="15" style="61" width="29.296875" collapsed="true" customWidth="true"/>
    <col min="14" max="14" style="61" width="29.296875" collapsed="true" customWidth="true"/>
    <col min="13" max="13" style="61" width="29.296875" collapsed="true" customWidth="true"/>
    <col min="12" max="12" style="61" width="29.296875" collapsed="true" customWidth="true"/>
    <col min="11" max="11" style="61" width="29.296875" collapsed="true" customWidth="true"/>
    <col min="10" max="10" style="61" width="29.296875" collapsed="true" customWidth="true"/>
    <col min="9" max="9" style="61" width="29.296875" collapsed="true" customWidth="true"/>
    <col min="8" max="8" style="61" width="29.296875" collapsed="true" customWidth="true"/>
    <col min="1" max="1" customWidth="true" style="61" width="42.96875" collapsed="false"/>
    <col min="2" max="2" customWidth="true" style="61" width="29.296875" collapsed="false"/>
    <col min="3" max="3" customWidth="true" style="61" width="29.296875" collapsed="false"/>
    <col min="4" max="4" customWidth="true" style="61" width="29.296875" collapsed="false"/>
    <col min="5" max="5" customWidth="true" style="61" width="29.296875" collapsed="false"/>
    <col min="6" max="6" customWidth="true" style="61" width="29.296875" collapsed="false"/>
    <col min="7" max="7" style="61" width="29.296875" collapsed="false" customWidth="true"/>
  </cols>
  <sheetData>
    <row r="1" spans="1:6" ht="24.75" customHeight="true">
      <c r="A1" s="32"/>
      <c r="B1" s="32"/>
      <c r="C1" s="11"/>
      <c r="D1" s="11"/>
      <c r="E1" s="11"/>
      <c r="F1" s="11"/>
    </row>
    <row r="2" spans="1:6" ht="24.75" customHeight="true">
      <c r="A2" s="32"/>
      <c r="B2" s="32"/>
      <c r="C2" s="11"/>
      <c r="D2" s="11"/>
      <c r="E2" s="11"/>
      <c r="F2" s="11"/>
    </row>
    <row r="3" spans="1:6" ht="24.75" customHeight="true">
      <c r="A3" s="32"/>
      <c r="B3" s="32"/>
      <c r="C3" s="11"/>
      <c r="D3" s="11"/>
      <c r="E3" s="11"/>
      <c r="F3" s="11"/>
    </row>
    <row r="4" spans="1:6" ht="24.75" customHeight="true">
      <c r="A4" s="162" t="s">
        <v>104</v>
      </c>
      <c r="B4" s="162"/>
      <c r="C4" s="162"/>
      <c r="D4" s="162"/>
      <c r="E4" s="163"/>
      <c r="F4" s="163"/>
    </row>
    <row r="5" spans="1:6" ht="24.75" customHeight="true">
      <c r="A5" s="12"/>
      <c r="B5" s="13"/>
      <c r="C5" s="13"/>
      <c r="D5" s="13"/>
      <c r="E5" s="13"/>
      <c r="F5" s="13"/>
    </row>
    <row r="6" spans="1:6" ht="24.75" customHeight="true">
      <c r="A6" s="167" t="s">
        <v>19</v>
      </c>
      <c r="B6" s="167"/>
      <c r="C6" s="167"/>
      <c r="D6" s="167"/>
      <c r="E6" s="167"/>
      <c r="F6" s="167"/>
    </row>
    <row r="7" spans="1:6" ht="24.75" customHeight="true">
      <c r="A7" s="12"/>
      <c r="B7" s="13"/>
      <c r="C7" s="13"/>
      <c r="D7" s="13"/>
      <c r="E7" s="13"/>
      <c r="F7" s="13"/>
    </row>
    <row r="8" spans="1:6" ht="24.75" customHeight="true">
      <c r="A8" s="14" t="s">
        <v>20</v>
      </c>
      <c r="B8" s="15" t="s">
        <v>105</v>
      </c>
      <c r="C8" s="11"/>
      <c r="D8" s="11"/>
      <c r="E8" s="11"/>
      <c r="F8" s="11"/>
    </row>
    <row r="9" spans="1:6" ht="24.75" customHeight="true">
      <c r="A9" s="14" t="s">
        <v>21</v>
      </c>
      <c r="B9" s="15" t="s">
        <v>106</v>
      </c>
      <c r="C9" s="11"/>
      <c r="D9" s="11"/>
      <c r="E9" s="11"/>
      <c r="F9" s="11"/>
    </row>
    <row r="10" spans="1:6" ht="24.75" customHeight="true">
      <c r="A10" s="16"/>
      <c r="B10" s="17"/>
      <c r="C10" s="17"/>
      <c r="D10" s="17"/>
      <c r="E10" s="17"/>
      <c r="F10" s="17"/>
    </row>
    <row r="11" spans="1:6" ht="24.75" customHeight="true">
      <c r="A11" s="168" t="s">
        <v>81</v>
      </c>
      <c r="B11" s="168"/>
      <c r="C11" s="168"/>
      <c r="D11" s="168"/>
      <c r="E11" s="168"/>
      <c r="F11" s="168"/>
    </row>
    <row r="12" spans="1:6" ht="24.75" customHeight="true">
      <c r="A12" s="42" t="s">
        <v>2</v>
      </c>
      <c r="B12" s="19" t="s">
        <v>22</v>
      </c>
      <c r="C12" s="19" t="s">
        <v>107</v>
      </c>
      <c r="D12" s="19" t="s">
        <v>90</v>
      </c>
      <c r="E12" s="19" t="s">
        <v>91</v>
      </c>
      <c r="F12" s="19" t="s">
        <v>108</v>
      </c>
    </row>
    <row r="13" spans="1:6" s="30" customFormat="1" ht="24.75" customHeight="true">
      <c r="A13" s="106" t="s">
        <v>109</v>
      </c>
      <c r="B13" s="48" t="s">
        <v>110</v>
      </c>
      <c r="C13" s="49" t="s">
        <v>111</v>
      </c>
      <c r="D13" s="49" t="s">
        <v>112</v>
      </c>
      <c r="E13" s="108" t="s">
        <v>113</v>
      </c>
      <c r="F13" s="49" t="s">
        <v>114</v>
      </c>
    </row>
    <row r="14" spans="1:6" s="78" customFormat="1" ht="24.75" customHeight="true">
      <c r="A14" s="169" t="s">
        <v>92</v>
      </c>
      <c r="B14" s="169"/>
    </row>
    <row r="15" spans="1:6" ht="24.75" customHeight="true"/>
    <row r="16" spans="1:6" ht="24.75" customHeight="true">
      <c r="A16" s="166" t="s">
        <v>115</v>
      </c>
      <c r="B16" s="166"/>
      <c r="C16" s="166"/>
      <c r="D16" s="166"/>
      <c r="E16" s="166"/>
      <c r="F16" s="166"/>
    </row>
    <row r="17" spans="1:6" ht="24.75" customHeight="true">
      <c r="A17" s="41" t="s">
        <v>2</v>
      </c>
      <c r="B17" s="19" t="s">
        <v>31</v>
      </c>
      <c r="C17" s="19" t="s">
        <v>116</v>
      </c>
      <c r="D17" s="19"/>
      <c r="E17" s="19"/>
      <c r="F17" s="19"/>
    </row>
    <row r="18" spans="1:6" s="40" customFormat="1" ht="24.75" customHeight="true">
      <c r="A18" s="52" t="s">
        <v>117</v>
      </c>
      <c r="B18" s="53" t="s">
        <v>118</v>
      </c>
      <c r="C18" s="54" t="n">
        <v>12.0</v>
      </c>
      <c r="D18" s="50"/>
    </row>
    <row r="19" spans="1:4" s="39" customFormat="1" ht="24.75" customHeight="true" outlineLevel="1">
      <c r="A19" s="83" t="s">
        <v>119</v>
      </c>
      <c r="B19" s="48" t="s">
        <v>118</v>
      </c>
      <c r="C19" s="46" t="n">
        <v>12.0</v>
      </c>
      <c r="D19" s="51"/>
    </row>
    <row r="20" spans="1:4" s="30" customFormat="1" ht="24.75" customHeight="true" outlineLevel="2">
      <c r="A20" s="137" t="s">
        <v>120</v>
      </c>
      <c r="B20" s="92" t="s">
        <v>121</v>
      </c>
      <c r="C20" s="114" t="n">
        <v>0.0</v>
      </c>
    </row>
    <row r="21" ht="24.75" customHeight="true" outlineLevel="2">
      <c r="A21" s="136" t="s">
        <v>122</v>
      </c>
      <c r="B21" s="48" t="s">
        <v>123</v>
      </c>
      <c r="C21" s="46" t="n">
        <v>12.0</v>
      </c>
      <c r="D21" s="51"/>
    </row>
    <row r="22" ht="24.75" customHeight="true">
      <c r="A22" s="21" t="s">
        <v>124</v>
      </c>
      <c r="B22" s="20" t="s">
        <v>125</v>
      </c>
      <c r="C22" s="113" t="n">
        <v>2.0</v>
      </c>
      <c r="D22" s="51"/>
    </row>
    <row r="23" ht="24.75" customHeight="true" outlineLevel="1">
      <c r="A23" s="82" t="s">
        <v>119</v>
      </c>
      <c r="B23" s="22" t="s">
        <v>125</v>
      </c>
      <c r="C23" s="111" t="n">
        <v>2.0</v>
      </c>
      <c r="D23" s="51"/>
    </row>
    <row r="24" ht="24.75" customHeight="true">
      <c r="A24" s="89" t="s">
        <v>126</v>
      </c>
      <c r="B24" s="90" t="s">
        <v>127</v>
      </c>
      <c r="C24" s="115" t="n">
        <v>0.0</v>
      </c>
    </row>
    <row r="25" ht="24.75" customHeight="true">
      <c r="A25" s="21" t="s">
        <v>128</v>
      </c>
      <c r="B25" s="20" t="s">
        <v>129</v>
      </c>
      <c r="C25" s="113" t="n">
        <v>16.0</v>
      </c>
      <c r="D25" s="51"/>
    </row>
    <row r="26" ht="24.75" customHeight="true">
      <c r="A26" s="52" t="s">
        <v>130</v>
      </c>
      <c r="B26" s="53" t="s">
        <v>129</v>
      </c>
      <c r="C26" s="54" t="n">
        <v>105.0</v>
      </c>
      <c r="D26" s="50"/>
    </row>
    <row r="27" ht="24.75" customHeight="true">
      <c r="A27" s="102" t="s">
        <v>131</v>
      </c>
      <c r="B27" s="103" t="s">
        <v>129</v>
      </c>
      <c r="C27" s="112" t="n">
        <v>0.0</v>
      </c>
    </row>
    <row r="28" ht="24.75" customHeight="true">
      <c r="A28" s="89" t="s">
        <v>132</v>
      </c>
      <c r="B28" s="90" t="s">
        <v>129</v>
      </c>
      <c r="C28" s="115" t="n">
        <v>0.0</v>
      </c>
    </row>
    <row r="29" ht="24.75" customHeight="true">
      <c r="A29" s="21" t="s">
        <v>133</v>
      </c>
      <c r="B29" s="20" t="s">
        <v>129</v>
      </c>
      <c r="C29" s="113" t="n">
        <v>180.0</v>
      </c>
      <c r="D29" s="51"/>
    </row>
    <row r="30" ht="24.75" customHeight="true" outlineLevel="1">
      <c r="A30" s="82" t="s">
        <v>134</v>
      </c>
      <c r="B30" s="22" t="s">
        <v>129</v>
      </c>
      <c r="C30" s="111" t="n">
        <v>180.0</v>
      </c>
      <c r="D30" s="51"/>
    </row>
    <row r="31" spans="1:6" customFormat="1" ht="24.75" customHeight="true">
      <c r="A31" s="171" t="s">
        <v>56</v>
      </c>
      <c r="B31" s="171"/>
      <c r="C31" s="171"/>
      <c r="D31" s="86"/>
      <c r="E31" s="87"/>
      <c r="F31" s="88"/>
    </row>
    <row r="32" spans="1:6" s="30" customFormat="1" ht="24.75" customHeight="true">
      <c r="A32" s="68"/>
      <c r="B32" s="68"/>
      <c r="C32" s="69"/>
    </row>
    <row r="33" spans="1:6" ht="24.75" customHeight="true">
      <c r="A33" s="57" t="s">
        <v>0</v>
      </c>
      <c r="B33" s="65" t="s">
        <v>135</v>
      </c>
      <c r="C33" s="43"/>
      <c r="D33" s="44"/>
      <c r="E33" s="44"/>
      <c r="F33" s="70"/>
    </row>
    <row r="34" spans="1:6" s="45" customFormat="1" ht="24.75" customHeight="true">
      <c r="A34" s="67" t="s">
        <v>136</v>
      </c>
      <c r="B34" s="109" t="n">
        <v>0.0</v>
      </c>
    </row>
    <row r="35" ht="24.75" customHeight="true">
      <c r="A35" s="66" t="s">
        <v>137</v>
      </c>
      <c r="B35" s="46" t="n">
        <v>-0.0</v>
      </c>
    </row>
    <row r="36" ht="24.75" customHeight="true">
      <c r="A36" s="67" t="s">
        <v>138</v>
      </c>
      <c r="B36" s="109" t="n">
        <v>-0.0</v>
      </c>
    </row>
    <row r="37" ht="24.75" customHeight="true">
      <c r="A37" s="66" t="s">
        <v>139</v>
      </c>
      <c r="B37" s="46" t="n">
        <v>-0.0</v>
      </c>
    </row>
    <row r="38" ht="24.75" customHeight="true">
      <c r="A38" s="67" t="s">
        <v>140</v>
      </c>
      <c r="B38" s="109" t="n">
        <v>95.0</v>
      </c>
    </row>
    <row r="39" ht="24.75" customHeight="true">
      <c r="A39" s="66" t="s">
        <v>141</v>
      </c>
      <c r="B39" s="46" t="n">
        <v>5.0</v>
      </c>
    </row>
    <row r="40" ht="24.75" customHeight="true">
      <c r="A40" s="67" t="s">
        <v>142</v>
      </c>
      <c r="B40" s="109" t="n">
        <v>5.0</v>
      </c>
    </row>
    <row r="41" ht="24.75" customHeight="true">
      <c r="A41" s="66" t="s">
        <v>143</v>
      </c>
      <c r="B41" s="46" t="n">
        <v>5.0</v>
      </c>
    </row>
    <row r="42" ht="24.75" customHeight="true">
      <c r="A42" s="67" t="s">
        <v>144</v>
      </c>
      <c r="B42" s="109" t="n">
        <v>5.0</v>
      </c>
    </row>
    <row r="43" ht="24.75" customHeight="true">
      <c r="A43" s="66" t="s">
        <v>145</v>
      </c>
      <c r="B43" s="46" t="n">
        <v>6.0</v>
      </c>
    </row>
    <row r="44" ht="24.75" customHeight="true">
      <c r="A44" s="67" t="s">
        <v>146</v>
      </c>
      <c r="B44" s="109" t="n">
        <v>8.0</v>
      </c>
    </row>
    <row r="45" ht="24.75" customHeight="true">
      <c r="A45" s="66" t="s">
        <v>147</v>
      </c>
      <c r="B45" s="46" t="n">
        <v>5.0</v>
      </c>
    </row>
    <row r="46" ht="24.75" customHeight="true">
      <c r="A46" s="67" t="s">
        <v>148</v>
      </c>
      <c r="B46" s="109" t="n">
        <v>5.0</v>
      </c>
    </row>
    <row r="47" ht="24.75" customHeight="true">
      <c r="A47" s="66" t="s">
        <v>149</v>
      </c>
      <c r="B47" s="46" t="n">
        <v>5.0</v>
      </c>
    </row>
    <row r="48" ht="24.75" customHeight="true">
      <c r="A48" s="67" t="s">
        <v>150</v>
      </c>
      <c r="B48" s="109" t="n">
        <v>11.0</v>
      </c>
    </row>
    <row r="49" ht="24.75" customHeight="true">
      <c r="A49" s="66" t="s">
        <v>151</v>
      </c>
      <c r="B49" s="46" t="n">
        <v>5.0</v>
      </c>
    </row>
    <row r="50" ht="24.75" customHeight="true">
      <c r="A50" s="67" t="s">
        <v>152</v>
      </c>
      <c r="B50" s="109" t="n">
        <v>5.0</v>
      </c>
    </row>
    <row r="51" ht="24.75" customHeight="true">
      <c r="A51" s="66" t="s">
        <v>153</v>
      </c>
      <c r="B51" s="46" t="n">
        <v>0.0</v>
      </c>
    </row>
    <row r="52" ht="24.75" customHeight="true">
      <c r="A52" s="67" t="s">
        <v>154</v>
      </c>
      <c r="B52" s="109" t="n">
        <v>0.0</v>
      </c>
    </row>
    <row r="53" ht="24.75" customHeight="true">
      <c r="A53" s="66" t="s">
        <v>155</v>
      </c>
      <c r="B53" s="46" t="n">
        <v>-0.0</v>
      </c>
    </row>
    <row r="54" ht="24.75" customHeight="true">
      <c r="A54" s="67" t="s">
        <v>156</v>
      </c>
      <c r="B54" s="109" t="n">
        <v>-0.0</v>
      </c>
    </row>
    <row r="55" ht="24.75" customHeight="true">
      <c r="A55" s="66" t="s">
        <v>157</v>
      </c>
      <c r="B55" s="46" t="n">
        <v>-0.0</v>
      </c>
    </row>
    <row r="56" ht="24.75" customHeight="true">
      <c r="A56" s="67" t="s">
        <v>158</v>
      </c>
      <c r="B56" s="109" t="n">
        <v>-0.0</v>
      </c>
    </row>
    <row r="57" ht="24.75" customHeight="true">
      <c r="A57" s="66" t="s">
        <v>159</v>
      </c>
      <c r="B57" s="46" t="n">
        <v>-0.0</v>
      </c>
    </row>
    <row r="58" ht="24.75" customHeight="true">
      <c r="A58" s="67" t="s">
        <v>160</v>
      </c>
      <c r="B58" s="109" t="n">
        <v>-0.0</v>
      </c>
    </row>
    <row r="59" ht="24.75" customHeight="true">
      <c r="A59" s="66" t="s">
        <v>161</v>
      </c>
      <c r="B59" s="46" t="n">
        <v>-0.0</v>
      </c>
    </row>
    <row r="60" ht="24.75" customHeight="true">
      <c r="A60" s="67" t="s">
        <v>162</v>
      </c>
      <c r="B60" s="109" t="n">
        <v>-0.0</v>
      </c>
    </row>
    <row r="61" ht="24.75" customHeight="true">
      <c r="A61" s="66" t="s">
        <v>163</v>
      </c>
      <c r="B61" s="46" t="n">
        <v>115.0</v>
      </c>
    </row>
    <row r="62" ht="24.75" customHeight="true">
      <c r="A62" s="67" t="s">
        <v>164</v>
      </c>
      <c r="B62" s="109" t="n">
        <v>5.0</v>
      </c>
    </row>
    <row r="63" ht="24.75" customHeight="true">
      <c r="A63" s="66" t="s">
        <v>165</v>
      </c>
      <c r="B63" s="46" t="n">
        <v>7.0</v>
      </c>
    </row>
    <row r="64" ht="24.75" customHeight="true">
      <c r="A64" s="67" t="s">
        <v>166</v>
      </c>
      <c r="B64" s="109" t="n">
        <v>23.0</v>
      </c>
    </row>
    <row r="65" spans="1:6" ht="24.75" customHeight="true"/>
    <row r="66" spans="1:6" s="60" customFormat="1" ht="24.75" customHeight="true">
      <c r="A66" s="170" t="s">
        <v>93</v>
      </c>
      <c r="B66" s="170"/>
      <c r="C66" s="170"/>
      <c r="D66" s="170"/>
      <c r="E66" s="170"/>
      <c r="F66" s="170"/>
    </row>
    <row r="67" spans="1:6" ht="24.75" customHeight="true"/>
    <row r="68" spans="1:6" ht="24.75" customHeight="true"/>
    <row r="70" spans="1:6" ht="24.75" customHeight="true">
      <c r="A70" s="164" t="s">
        <v>45</v>
      </c>
      <c r="B70" s="164"/>
      <c r="C70" s="164"/>
      <c r="D70" s="164"/>
      <c r="E70" s="164"/>
      <c r="F70" s="164"/>
    </row>
    <row r="71" spans="1:6" ht="15.0" customHeight="true">
      <c r="A71" s="165" t="s">
        <v>46</v>
      </c>
      <c r="B71" s="165"/>
      <c r="C71" s="165"/>
      <c r="D71" s="165"/>
      <c r="E71" s="165"/>
      <c r="F71" s="165"/>
    </row>
  </sheetData>
  <autoFilter ref="A33:B33"/>
  <dataConsolidate/>
  <mergeCells count="11">
    <mergeCell ref="A4:F4"/>
    <mergeCell ref="A6:F6"/>
    <mergeCell ref="A11:F11"/>
    <mergeCell ref="A14:B14"/>
    <mergeCell ref="A16:F16"/>
    <mergeCell ref="A31:C31"/>
    <mergeCell ref="A70:F70"/>
    <mergeCell ref="A71:F71"/>
    <mergeCell ref="A66:F66"/>
  </mergeCells>
  <hyperlinks>
    <hyperlink ref="$A$66:$F$66" location="sheet2Ref" display="Информация о расходах на вкладке 'История в деталях'"/>
  </hyperlinks>
  <printOptions horizontalCentered="1"/>
  <pageMargins left="0.39370078740157483" right="0.78740157480314965" top="0.78740157480314965" bottom="0.78740157480314965" header="0.39370078740157483" footer="0.39370078740157483"/>
  <pageSetup paperSize="9" scale="39" fitToWidth="0" fitToHeight="0" orientation="portrait" errors="blank" r:id="rId1"/>
  <headerFooter>
    <oddHeader>&amp;L&amp;G</oddHeader>
    <oddFooter><![CDATA[&L&"Arial,Обычный"&D
Цены и тарифы указаны с учетом НДС.
&R Центр поддержки клиентов (круглосуточно):
8 (800) 700-0611, 0611 (для звонков с номеров "Билайн"). 
Для звонков из заграницы +7 495 974-8888 (с телефона «Билайн» бесплатно).
&"Arial,Обычный"&P]]>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C000"/>
  </sheetPr>
  <dimension ref="A1:DU19"/>
  <sheetViews>
    <sheetView showGridLines="0" zoomScale="85" zoomScaleNormal="85" zoomScaleSheetLayoutView="85" workbookViewId="0">
      <pane ySplit="2" topLeftCell="A3" activePane="bottomLeft" state="frozen"/>
      <selection pane="bottomLeft" activeCell="A3" sqref="A3"/>
    </sheetView>
  </sheetViews>
  <sheetFormatPr defaultRowHeight="15"/>
  <cols>
    <col min="1" max="1" customWidth="true" width="16.40625" collapsed="false"/>
    <col min="2" max="2" customWidth="true" width="11.8828125" collapsed="false" bestFit="true"/>
    <col min="3" max="3" customWidth="true" width="43.71484375" collapsed="false" bestFit="true"/>
    <col min="4" max="4" customWidth="true" width="19.66796875" collapsed="false" bestFit="true"/>
    <col min="5" max="5" customWidth="true" width="16.38671875" collapsed="false" bestFit="true"/>
    <col min="6" max="6" customWidth="true" width="20.14453125" collapsed="false" bestFit="true"/>
    <col min="7" max="7" customWidth="true" width="14.90234375" collapsed="false" bestFit="true"/>
    <col min="8" max="8" customWidth="true" width="11.9453125" collapsed="false" bestFit="true"/>
    <col min="9" max="9" customWidth="true" width="19.8359375" collapsed="false" bestFit="true"/>
    <col min="10" max="10" customWidth="true" width="21.109375" collapsed="false" bestFit="true"/>
    <col min="11" max="11" customWidth="true" width="19.33984375" collapsed="false" bestFit="true"/>
    <col min="12" max="12" customWidth="true" width="16.40625" collapsed="false"/>
    <col min="13" max="13" bestFit="true" customWidth="true" width="7.28515625" collapsed="false"/>
    <col min="14" max="14" customWidth="true" width="9.28515625" collapsed="false"/>
    <col min="15" max="15" customWidth="true" width="12.0" collapsed="false"/>
    <col min="16" max="16" bestFit="true" customWidth="true" width="49.28515625" collapsed="false"/>
    <col min="17" max="17" bestFit="true" customWidth="true" width="7.28515625" collapsed="false"/>
    <col min="18" max="18" bestFit="true" customWidth="true" width="44.7109375" collapsed="false"/>
    <col min="22" max="22" customWidth="true" width="54.85546875" collapsed="false"/>
  </cols>
  <sheetData>
    <row r="1" spans="1:125" hidden="1" ht="25.5" customHeight="true"/>
    <row r="2" spans="1:125" s="125" customFormat="1" ht="24.75" customHeight="true">
      <c r="A2" s="117" t="s">
        <v>0</v>
      </c>
      <c r="B2" s="118" t="s">
        <v>1</v>
      </c>
      <c r="C2" s="117" t="s">
        <v>2</v>
      </c>
      <c r="D2" s="117" t="s">
        <v>3</v>
      </c>
      <c r="E2" s="117" t="s">
        <v>4</v>
      </c>
      <c r="F2" s="119" t="s">
        <v>5</v>
      </c>
      <c r="G2" s="120" t="s">
        <v>6</v>
      </c>
      <c r="H2" s="116" t="s">
        <v>7</v>
      </c>
      <c r="I2" s="116" t="s">
        <v>8</v>
      </c>
      <c r="J2" s="121" t="s">
        <v>9</v>
      </c>
      <c r="K2" s="122" t="s">
        <v>17</v>
      </c>
      <c r="L2" s="123" t="s">
        <v>10</v>
      </c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</row>
    <row r="3" ht="24.75" customHeight="true">
      <c r="A3" s="176" t="n">
        <v>42377.96939814815</v>
      </c>
      <c r="B3" s="177" t="n">
        <v>42377.96939814815</v>
      </c>
      <c r="C3" s="178" t="s">
        <v>169</v>
      </c>
      <c r="D3" s="179" t="s">
        <v>170</v>
      </c>
      <c r="E3" s="180" t="s">
        <v>171</v>
      </c>
      <c r="F3" s="181" t="s">
        <v>172</v>
      </c>
      <c r="G3" s="182" t="n">
        <v>1.0416666666666667E-4</v>
      </c>
      <c r="H3" s="183" t="s">
        <v>174</v>
      </c>
      <c r="I3" s="184" t="s">
        <v>109</v>
      </c>
      <c r="J3" s="185" t="n">
        <v>0.0</v>
      </c>
      <c r="K3" s="186" t="n">
        <v>-34.64</v>
      </c>
      <c r="L3" s="187" t="s">
        <v>167</v>
      </c>
    </row>
    <row r="4" ht="24.75" customHeight="true">
      <c r="A4" s="188" t="n">
        <v>42377.96890046296</v>
      </c>
      <c r="B4" s="189" t="n">
        <v>42377.96890046296</v>
      </c>
      <c r="C4" s="190" t="s">
        <v>169</v>
      </c>
      <c r="D4" s="191" t="s">
        <v>170</v>
      </c>
      <c r="E4" s="192" t="s">
        <v>171</v>
      </c>
      <c r="F4" s="193" t="s">
        <v>172</v>
      </c>
      <c r="G4" s="194" t="n">
        <v>1.6203703703703703E-4</v>
      </c>
      <c r="H4" s="195" t="s">
        <v>174</v>
      </c>
      <c r="I4" s="196" t="s">
        <v>109</v>
      </c>
      <c r="J4" s="197" t="n">
        <v>0.0</v>
      </c>
      <c r="K4" s="198" t="n">
        <v>-34.64</v>
      </c>
      <c r="L4" s="199" t="s">
        <v>167</v>
      </c>
    </row>
    <row r="5" ht="24.75" customHeight="true">
      <c r="A5" s="200" t="n">
        <v>42377.965833333335</v>
      </c>
      <c r="B5" s="201" t="n">
        <v>42377.965833333335</v>
      </c>
      <c r="C5" s="202" t="s">
        <v>169</v>
      </c>
      <c r="D5" s="203" t="s">
        <v>170</v>
      </c>
      <c r="E5" s="204" t="s">
        <v>171</v>
      </c>
      <c r="F5" s="205" t="s">
        <v>172</v>
      </c>
      <c r="G5" s="206" t="n">
        <v>0.002638888888888889</v>
      </c>
      <c r="H5" s="207" t="s">
        <v>174</v>
      </c>
      <c r="I5" s="208" t="s">
        <v>109</v>
      </c>
      <c r="J5" s="209" t="n">
        <v>0.0</v>
      </c>
      <c r="K5" s="210" t="n">
        <v>-34.64</v>
      </c>
      <c r="L5" s="211" t="s">
        <v>167</v>
      </c>
    </row>
    <row r="6" ht="24.75" customHeight="true">
      <c r="A6" s="212" t="n">
        <v>42377.81804398148</v>
      </c>
      <c r="B6" s="213" t="n">
        <v>42377.81804398148</v>
      </c>
      <c r="C6" s="214" t="s">
        <v>169</v>
      </c>
      <c r="D6" s="215" t="s">
        <v>170</v>
      </c>
      <c r="E6" s="216" t="s">
        <v>171</v>
      </c>
      <c r="F6" s="217" t="s">
        <v>172</v>
      </c>
      <c r="G6" s="218" t="n">
        <v>0.001574074074074074</v>
      </c>
      <c r="H6" s="219" t="s">
        <v>174</v>
      </c>
      <c r="I6" s="220" t="s">
        <v>109</v>
      </c>
      <c r="J6" s="221" t="n">
        <v>0.0</v>
      </c>
      <c r="K6" s="222" t="n">
        <v>-34.64</v>
      </c>
      <c r="L6" s="223" t="s">
        <v>167</v>
      </c>
    </row>
    <row r="7" ht="24.75" customHeight="true">
      <c r="A7" s="224" t="n">
        <v>42377.54834490741</v>
      </c>
      <c r="B7" s="225" t="n">
        <v>42377.54834490741</v>
      </c>
      <c r="C7" s="226" t="s">
        <v>169</v>
      </c>
      <c r="D7" s="227" t="s">
        <v>170</v>
      </c>
      <c r="E7" s="228" t="s">
        <v>171</v>
      </c>
      <c r="F7" s="229" t="s">
        <v>172</v>
      </c>
      <c r="G7" s="230" t="n">
        <v>7.754629629629629E-4</v>
      </c>
      <c r="H7" s="231" t="s">
        <v>174</v>
      </c>
      <c r="I7" s="232" t="s">
        <v>109</v>
      </c>
      <c r="J7" s="233" t="n">
        <v>0.0</v>
      </c>
      <c r="K7" s="234" t="n">
        <v>-34.64</v>
      </c>
      <c r="L7" s="235" t="s">
        <v>167</v>
      </c>
    </row>
    <row r="8" ht="24.75" customHeight="true">
      <c r="A8" s="236" t="n">
        <v>42376.86548611111</v>
      </c>
      <c r="B8" s="237" t="n">
        <v>42376.86548611111</v>
      </c>
      <c r="C8" s="238" t="s">
        <v>169</v>
      </c>
      <c r="D8" s="239" t="s">
        <v>179</v>
      </c>
      <c r="E8" s="240" t="s">
        <v>171</v>
      </c>
      <c r="F8" s="241" t="s">
        <v>172</v>
      </c>
      <c r="G8" s="242" t="n">
        <v>0.0014467592592592592</v>
      </c>
      <c r="H8" s="243" t="s">
        <v>174</v>
      </c>
      <c r="I8" s="244" t="s">
        <v>109</v>
      </c>
      <c r="J8" s="245" t="n">
        <v>0.0</v>
      </c>
      <c r="K8" s="246" t="n">
        <v>-34.64</v>
      </c>
      <c r="L8" s="247" t="s">
        <v>167</v>
      </c>
    </row>
    <row r="9" ht="24.75" customHeight="true">
      <c r="A9" s="248" t="n">
        <v>42376.67621527778</v>
      </c>
      <c r="B9" s="249" t="n">
        <v>42376.67621527778</v>
      </c>
      <c r="C9" s="250" t="s">
        <v>181</v>
      </c>
      <c r="D9" s="251" t="s">
        <v>182</v>
      </c>
      <c r="E9" s="252" t="s">
        <v>183</v>
      </c>
      <c r="F9" s="253" t="s">
        <v>183</v>
      </c>
      <c r="G9" s="254" t="n">
        <v>6.481481481481481E-4</v>
      </c>
      <c r="H9" s="255" t="s">
        <v>174</v>
      </c>
      <c r="I9" s="256" t="s">
        <v>109</v>
      </c>
      <c r="J9" s="257" t="n">
        <v>0.0</v>
      </c>
      <c r="K9" s="258" t="n">
        <v>-34.64</v>
      </c>
      <c r="L9" s="259" t="s">
        <v>167</v>
      </c>
    </row>
    <row r="10" ht="24.75" customHeight="true">
      <c r="A10" s="260" t="n">
        <v>42376.65971064815</v>
      </c>
      <c r="B10" s="261" t="n">
        <v>42376.65971064815</v>
      </c>
      <c r="C10" s="262" t="s">
        <v>181</v>
      </c>
      <c r="D10" s="263" t="s">
        <v>182</v>
      </c>
      <c r="E10" s="264" t="s">
        <v>183</v>
      </c>
      <c r="F10" s="265" t="s">
        <v>183</v>
      </c>
      <c r="G10" s="266" t="n">
        <v>0.001412037037037037</v>
      </c>
      <c r="H10" s="267" t="s">
        <v>174</v>
      </c>
      <c r="I10" s="268" t="s">
        <v>109</v>
      </c>
      <c r="J10" s="269" t="n">
        <v>0.0</v>
      </c>
      <c r="K10" s="270" t="n">
        <v>-34.64</v>
      </c>
      <c r="L10" s="271" t="s">
        <v>167</v>
      </c>
    </row>
    <row r="11" ht="24.75" customHeight="true">
      <c r="A11" s="272" t="n">
        <v>42376.60741898148</v>
      </c>
      <c r="B11" s="273" t="n">
        <v>42376.60741898148</v>
      </c>
      <c r="C11" s="274" t="s">
        <v>169</v>
      </c>
      <c r="D11" s="275" t="s">
        <v>186</v>
      </c>
      <c r="E11" s="276" t="s">
        <v>171</v>
      </c>
      <c r="F11" s="277" t="s">
        <v>172</v>
      </c>
      <c r="G11" s="278" t="n">
        <v>7.407407407407407E-4</v>
      </c>
      <c r="H11" s="279" t="s">
        <v>174</v>
      </c>
      <c r="I11" s="280" t="s">
        <v>109</v>
      </c>
      <c r="J11" s="281" t="n">
        <v>0.0</v>
      </c>
      <c r="K11" s="282" t="n">
        <v>-34.64</v>
      </c>
      <c r="L11" s="283" t="s">
        <v>167</v>
      </c>
    </row>
    <row r="12" ht="24.75" customHeight="true">
      <c r="A12" s="284" t="n">
        <v>42375.960069444445</v>
      </c>
      <c r="B12" s="285" t="n">
        <v>42375.960069444445</v>
      </c>
      <c r="C12" s="286" t="s">
        <v>169</v>
      </c>
      <c r="D12" s="287" t="s">
        <v>186</v>
      </c>
      <c r="E12" s="288" t="s">
        <v>171</v>
      </c>
      <c r="F12" s="289" t="s">
        <v>172</v>
      </c>
      <c r="G12" s="290" t="n">
        <v>0.0011226851851851851</v>
      </c>
      <c r="H12" s="291" t="s">
        <v>174</v>
      </c>
      <c r="I12" s="292" t="s">
        <v>109</v>
      </c>
      <c r="J12" s="293" t="n">
        <v>0.0</v>
      </c>
      <c r="K12" s="294" t="n">
        <v>-34.64</v>
      </c>
      <c r="L12" s="295" t="s">
        <v>167</v>
      </c>
    </row>
    <row r="13" ht="24.75" customHeight="true">
      <c r="A13" s="296" t="n">
        <v>42375.74570601852</v>
      </c>
      <c r="B13" s="297" t="n">
        <v>42375.74570601852</v>
      </c>
      <c r="C13" s="298" t="s">
        <v>169</v>
      </c>
      <c r="D13" s="299" t="s">
        <v>186</v>
      </c>
      <c r="E13" s="300" t="s">
        <v>171</v>
      </c>
      <c r="F13" s="301" t="s">
        <v>172</v>
      </c>
      <c r="G13" s="302" t="n">
        <v>8.680555555555555E-4</v>
      </c>
      <c r="H13" s="303" t="s">
        <v>174</v>
      </c>
      <c r="I13" s="304" t="s">
        <v>109</v>
      </c>
      <c r="J13" s="305" t="n">
        <v>0.0</v>
      </c>
      <c r="K13" s="306" t="n">
        <v>-34.64</v>
      </c>
      <c r="L13" s="307" t="s">
        <v>167</v>
      </c>
    </row>
    <row r="14" ht="24.75" customHeight="true">
      <c r="A14" s="308" t="n">
        <v>42375.7246875</v>
      </c>
      <c r="B14" s="309" t="n">
        <v>42375.7246875</v>
      </c>
      <c r="C14" s="310" t="s">
        <v>169</v>
      </c>
      <c r="D14" s="311" t="s">
        <v>170</v>
      </c>
      <c r="E14" s="312" t="s">
        <v>171</v>
      </c>
      <c r="F14" s="313" t="s">
        <v>172</v>
      </c>
      <c r="G14" s="314" t="n">
        <v>3.0092592592592595E-4</v>
      </c>
      <c r="H14" s="315" t="s">
        <v>174</v>
      </c>
      <c r="I14" s="316" t="s">
        <v>109</v>
      </c>
      <c r="J14" s="317" t="n">
        <v>0.0</v>
      </c>
      <c r="K14" s="318" t="n">
        <v>-34.64</v>
      </c>
      <c r="L14" s="319" t="s">
        <v>167</v>
      </c>
    </row>
    <row r="15" ht="24.75" customHeight="true">
      <c r="A15" s="320" t="n">
        <v>42375.687476851854</v>
      </c>
      <c r="B15" s="321" t="n">
        <v>42375.687476851854</v>
      </c>
      <c r="C15" s="322" t="s">
        <v>169</v>
      </c>
      <c r="D15" s="323" t="s">
        <v>170</v>
      </c>
      <c r="E15" s="324" t="s">
        <v>171</v>
      </c>
      <c r="F15" s="325" t="s">
        <v>172</v>
      </c>
      <c r="G15" s="326" t="n">
        <v>1.9675925925925926E-4</v>
      </c>
      <c r="H15" s="327" t="s">
        <v>174</v>
      </c>
      <c r="I15" s="328" t="s">
        <v>109</v>
      </c>
      <c r="J15" s="329" t="n">
        <v>0.0</v>
      </c>
      <c r="K15" s="330" t="n">
        <v>-34.64</v>
      </c>
      <c r="L15" s="331" t="s">
        <v>167</v>
      </c>
    </row>
    <row r="16" ht="24.75" customHeight="true">
      <c r="A16" s="332" t="n">
        <v>42375.67184027778</v>
      </c>
      <c r="B16" s="333" t="n">
        <v>42375.67184027778</v>
      </c>
      <c r="C16" s="334" t="s">
        <v>169</v>
      </c>
      <c r="D16" s="335" t="s">
        <v>170</v>
      </c>
      <c r="E16" s="336" t="s">
        <v>171</v>
      </c>
      <c r="F16" s="337" t="s">
        <v>172</v>
      </c>
      <c r="G16" s="338" t="n">
        <v>6.018518518518519E-4</v>
      </c>
      <c r="H16" s="339" t="s">
        <v>174</v>
      </c>
      <c r="I16" s="340" t="s">
        <v>109</v>
      </c>
      <c r="J16" s="341" t="n">
        <v>0.0</v>
      </c>
      <c r="K16" s="342" t="n">
        <v>-34.64</v>
      </c>
      <c r="L16" s="343" t="s">
        <v>167</v>
      </c>
    </row>
    <row r="17" ht="24.75" customHeight="true">
      <c r="A17" s="344" t="n">
        <v>42375.481145833335</v>
      </c>
      <c r="B17" s="345" t="n">
        <v>42375.481145833335</v>
      </c>
      <c r="C17" s="346" t="s">
        <v>169</v>
      </c>
      <c r="D17" s="347" t="s">
        <v>170</v>
      </c>
      <c r="E17" s="348" t="s">
        <v>171</v>
      </c>
      <c r="F17" s="349" t="s">
        <v>172</v>
      </c>
      <c r="G17" s="350" t="n">
        <v>2.199074074074074E-4</v>
      </c>
      <c r="H17" s="351" t="s">
        <v>174</v>
      </c>
      <c r="I17" s="352" t="s">
        <v>109</v>
      </c>
      <c r="J17" s="353" t="n">
        <v>0.0</v>
      </c>
      <c r="K17" s="354" t="n">
        <v>-34.64</v>
      </c>
      <c r="L17" s="355" t="s">
        <v>167</v>
      </c>
    </row>
    <row r="18" ht="24.75" customHeight="true">
      <c r="A18" s="356" t="n">
        <v>42375.408229166664</v>
      </c>
      <c r="B18" s="357" t="n">
        <v>42375.408229166664</v>
      </c>
      <c r="C18" s="358" t="s">
        <v>169</v>
      </c>
      <c r="D18" s="359" t="s">
        <v>170</v>
      </c>
      <c r="E18" s="360" t="s">
        <v>171</v>
      </c>
      <c r="F18" s="361" t="s">
        <v>172</v>
      </c>
      <c r="G18" s="362" t="n">
        <v>0.0012847222222222223</v>
      </c>
      <c r="H18" s="363" t="s">
        <v>174</v>
      </c>
      <c r="I18" s="364" t="s">
        <v>109</v>
      </c>
      <c r="J18" s="365" t="n">
        <v>0.0</v>
      </c>
      <c r="K18" s="366" t="n">
        <v>-34.64</v>
      </c>
      <c r="L18" s="367" t="s">
        <v>167</v>
      </c>
    </row>
    <row r="19" ht="24.75" customHeight="true">
      <c r="A19" s="368" t="n">
        <v>42374.899143518516</v>
      </c>
      <c r="B19" s="369" t="n">
        <v>42374.899143518516</v>
      </c>
      <c r="C19" s="370" t="s">
        <v>169</v>
      </c>
      <c r="D19" s="371" t="s">
        <v>170</v>
      </c>
      <c r="E19" s="372" t="s">
        <v>171</v>
      </c>
      <c r="F19" s="373" t="s">
        <v>172</v>
      </c>
      <c r="G19" s="374" t="n">
        <v>4.7453703703703704E-4</v>
      </c>
      <c r="H19" s="375" t="s">
        <v>174</v>
      </c>
      <c r="I19" s="376" t="s">
        <v>109</v>
      </c>
      <c r="J19" s="377" t="n">
        <v>0.0</v>
      </c>
      <c r="K19" s="378" t="n">
        <v>-34.64</v>
      </c>
      <c r="L19" s="379" t="s">
        <v>167</v>
      </c>
    </row>
    <row r="20" ht="24.75" customHeight="true">
      <c r="A20" s="380" t="n">
        <v>42374.72555555555</v>
      </c>
      <c r="B20" s="381" t="n">
        <v>42374.72555555555</v>
      </c>
      <c r="C20" s="382" t="s">
        <v>169</v>
      </c>
      <c r="D20" s="383" t="s">
        <v>170</v>
      </c>
      <c r="E20" s="384" t="s">
        <v>171</v>
      </c>
      <c r="F20" s="385" t="s">
        <v>172</v>
      </c>
      <c r="G20" s="386" t="n">
        <v>2.8935185185185184E-4</v>
      </c>
      <c r="H20" s="387" t="s">
        <v>174</v>
      </c>
      <c r="I20" s="388" t="s">
        <v>109</v>
      </c>
      <c r="J20" s="389" t="n">
        <v>0.0</v>
      </c>
      <c r="K20" s="390" t="n">
        <v>-34.64</v>
      </c>
      <c r="L20" s="391" t="s">
        <v>167</v>
      </c>
    </row>
    <row r="21" ht="24.75" customHeight="true">
      <c r="A21" s="392" t="n">
        <v>42374.72189814815</v>
      </c>
      <c r="B21" s="393" t="n">
        <v>42374.72189814815</v>
      </c>
      <c r="C21" s="394" t="s">
        <v>169</v>
      </c>
      <c r="D21" s="395" t="s">
        <v>170</v>
      </c>
      <c r="E21" s="396" t="s">
        <v>171</v>
      </c>
      <c r="F21" s="397" t="s">
        <v>172</v>
      </c>
      <c r="G21" s="398" t="n">
        <v>0.001412037037037037</v>
      </c>
      <c r="H21" s="399" t="s">
        <v>174</v>
      </c>
      <c r="I21" s="400" t="s">
        <v>109</v>
      </c>
      <c r="J21" s="401" t="n">
        <v>0.0</v>
      </c>
      <c r="K21" s="402" t="n">
        <v>-34.64</v>
      </c>
      <c r="L21" s="403" t="s">
        <v>167</v>
      </c>
    </row>
    <row r="22" ht="24.75" customHeight="true">
      <c r="A22" s="404" t="n">
        <v>42374.71760416667</v>
      </c>
      <c r="B22" s="405" t="n">
        <v>42374.71760416667</v>
      </c>
      <c r="C22" s="406" t="s">
        <v>169</v>
      </c>
      <c r="D22" s="407" t="s">
        <v>170</v>
      </c>
      <c r="E22" s="408" t="s">
        <v>171</v>
      </c>
      <c r="F22" s="409" t="s">
        <v>172</v>
      </c>
      <c r="G22" s="410" t="n">
        <v>0.0019328703703703704</v>
      </c>
      <c r="H22" s="411" t="s">
        <v>174</v>
      </c>
      <c r="I22" s="412" t="s">
        <v>109</v>
      </c>
      <c r="J22" s="413" t="n">
        <v>0.0</v>
      </c>
      <c r="K22" s="414" t="n">
        <v>-34.64</v>
      </c>
      <c r="L22" s="415" t="s">
        <v>167</v>
      </c>
    </row>
    <row r="23" ht="24.75" customHeight="true">
      <c r="A23" s="416" t="n">
        <v>42374.71506944444</v>
      </c>
      <c r="B23" s="417" t="n">
        <v>42374.71506944444</v>
      </c>
      <c r="C23" s="418" t="s">
        <v>169</v>
      </c>
      <c r="D23" s="419" t="s">
        <v>170</v>
      </c>
      <c r="E23" s="420" t="s">
        <v>171</v>
      </c>
      <c r="F23" s="421" t="s">
        <v>172</v>
      </c>
      <c r="G23" s="422" t="n">
        <v>8.333333333333334E-4</v>
      </c>
      <c r="H23" s="423" t="s">
        <v>174</v>
      </c>
      <c r="I23" s="424" t="s">
        <v>109</v>
      </c>
      <c r="J23" s="425" t="n">
        <v>0.0</v>
      </c>
      <c r="K23" s="426" t="n">
        <v>-34.64</v>
      </c>
      <c r="L23" s="427" t="s">
        <v>167</v>
      </c>
    </row>
    <row r="24" ht="24.75" customHeight="true">
      <c r="A24" s="428" t="n">
        <v>42374.655185185184</v>
      </c>
      <c r="B24" s="429" t="n">
        <v>42374.655185185184</v>
      </c>
      <c r="C24" s="430" t="s">
        <v>169</v>
      </c>
      <c r="D24" s="431" t="s">
        <v>186</v>
      </c>
      <c r="E24" s="432" t="s">
        <v>171</v>
      </c>
      <c r="F24" s="433" t="s">
        <v>172</v>
      </c>
      <c r="G24" s="434" t="n">
        <v>4.2824074074074075E-4</v>
      </c>
      <c r="H24" s="435" t="s">
        <v>174</v>
      </c>
      <c r="I24" s="436" t="s">
        <v>109</v>
      </c>
      <c r="J24" s="437" t="n">
        <v>0.0</v>
      </c>
      <c r="K24" s="438" t="n">
        <v>-34.64</v>
      </c>
      <c r="L24" s="439" t="s">
        <v>167</v>
      </c>
    </row>
    <row r="25" ht="24.75" customHeight="true">
      <c r="A25" s="440" t="n">
        <v>42374.58325231481</v>
      </c>
      <c r="B25" s="441" t="n">
        <v>42374.58325231481</v>
      </c>
      <c r="C25" s="442" t="s">
        <v>169</v>
      </c>
      <c r="D25" s="443" t="s">
        <v>186</v>
      </c>
      <c r="E25" s="444" t="s">
        <v>171</v>
      </c>
      <c r="F25" s="445" t="s">
        <v>172</v>
      </c>
      <c r="G25" s="446" t="n">
        <v>0.0010879629629629629</v>
      </c>
      <c r="H25" s="447" t="s">
        <v>174</v>
      </c>
      <c r="I25" s="448" t="s">
        <v>109</v>
      </c>
      <c r="J25" s="449" t="n">
        <v>0.0</v>
      </c>
      <c r="K25" s="450" t="n">
        <v>-34.64</v>
      </c>
      <c r="L25" s="451" t="s">
        <v>167</v>
      </c>
    </row>
    <row r="26" ht="24.75" customHeight="true">
      <c r="A26" s="452" t="n">
        <v>42374.57914351852</v>
      </c>
      <c r="B26" s="453" t="n">
        <v>42374.57914351852</v>
      </c>
      <c r="C26" s="454" t="s">
        <v>169</v>
      </c>
      <c r="D26" s="455" t="s">
        <v>170</v>
      </c>
      <c r="E26" s="456" t="s">
        <v>171</v>
      </c>
      <c r="F26" s="457" t="s">
        <v>172</v>
      </c>
      <c r="G26" s="458" t="n">
        <v>4.861111111111111E-4</v>
      </c>
      <c r="H26" s="459" t="s">
        <v>174</v>
      </c>
      <c r="I26" s="460" t="s">
        <v>109</v>
      </c>
      <c r="J26" s="461" t="n">
        <v>0.0</v>
      </c>
      <c r="K26" s="462" t="n">
        <v>-34.64</v>
      </c>
      <c r="L26" s="463" t="s">
        <v>167</v>
      </c>
    </row>
    <row r="27" ht="24.75" customHeight="true">
      <c r="A27" s="464" t="n">
        <v>42374.47678240741</v>
      </c>
      <c r="B27" s="465" t="n">
        <v>42374.47678240741</v>
      </c>
      <c r="C27" s="466" t="s">
        <v>169</v>
      </c>
      <c r="D27" s="467" t="s">
        <v>170</v>
      </c>
      <c r="E27" s="468" t="s">
        <v>171</v>
      </c>
      <c r="F27" s="469" t="s">
        <v>172</v>
      </c>
      <c r="G27" s="470" t="n">
        <v>0.0010879629629629629</v>
      </c>
      <c r="H27" s="471" t="s">
        <v>174</v>
      </c>
      <c r="I27" s="472" t="s">
        <v>109</v>
      </c>
      <c r="J27" s="473" t="n">
        <v>0.0</v>
      </c>
      <c r="K27" s="474" t="n">
        <v>-34.64</v>
      </c>
      <c r="L27" s="475" t="s">
        <v>167</v>
      </c>
    </row>
    <row r="28" ht="24.75" customHeight="true">
      <c r="A28" s="476" t="n">
        <v>42374.4034375</v>
      </c>
      <c r="B28" s="477" t="n">
        <v>42374.4034375</v>
      </c>
      <c r="C28" s="478" t="s">
        <v>169</v>
      </c>
      <c r="D28" s="479" t="s">
        <v>170</v>
      </c>
      <c r="E28" s="480" t="s">
        <v>171</v>
      </c>
      <c r="F28" s="481" t="s">
        <v>172</v>
      </c>
      <c r="G28" s="482" t="n">
        <v>2.546296296296296E-4</v>
      </c>
      <c r="H28" s="483" t="s">
        <v>174</v>
      </c>
      <c r="I28" s="484" t="s">
        <v>109</v>
      </c>
      <c r="J28" s="485" t="n">
        <v>0.0</v>
      </c>
      <c r="K28" s="486" t="n">
        <v>-34.64</v>
      </c>
      <c r="L28" s="487" t="s">
        <v>167</v>
      </c>
    </row>
    <row r="29" ht="24.75" customHeight="true">
      <c r="A29" s="488" t="n">
        <v>42374.38292824074</v>
      </c>
      <c r="B29" s="489" t="n">
        <v>42374.38292824074</v>
      </c>
      <c r="C29" s="490" t="s">
        <v>169</v>
      </c>
      <c r="D29" s="491" t="s">
        <v>170</v>
      </c>
      <c r="E29" s="492" t="s">
        <v>171</v>
      </c>
      <c r="F29" s="493" t="s">
        <v>172</v>
      </c>
      <c r="G29" s="494" t="n">
        <v>3.7037037037037035E-4</v>
      </c>
      <c r="H29" s="495" t="s">
        <v>174</v>
      </c>
      <c r="I29" s="496" t="s">
        <v>109</v>
      </c>
      <c r="J29" s="497" t="n">
        <v>0.0</v>
      </c>
      <c r="K29" s="498" t="n">
        <v>-34.64</v>
      </c>
      <c r="L29" s="499" t="s">
        <v>167</v>
      </c>
    </row>
    <row r="30" ht="24.75" customHeight="true">
      <c r="A30" s="500" t="n">
        <v>42374.05243055556</v>
      </c>
      <c r="B30" s="501" t="n">
        <v>42374.05243055556</v>
      </c>
      <c r="C30" s="502" t="s">
        <v>204</v>
      </c>
      <c r="D30" s="503" t="s">
        <v>205</v>
      </c>
      <c r="E30" s="504" t="s">
        <v>183</v>
      </c>
      <c r="F30" s="505" t="s">
        <v>183</v>
      </c>
      <c r="G30" s="506" t="s">
        <v>206</v>
      </c>
      <c r="H30" s="507" t="s">
        <v>183</v>
      </c>
      <c r="I30" s="508" t="s">
        <v>109</v>
      </c>
      <c r="J30" s="509" t="n">
        <v>-80.0</v>
      </c>
      <c r="K30" s="510" t="n">
        <v>-34.64</v>
      </c>
      <c r="L30" s="511" t="s">
        <v>167</v>
      </c>
    </row>
    <row r="31" ht="24.75" customHeight="true">
      <c r="A31" s="512" t="n">
        <v>42374.05243055556</v>
      </c>
      <c r="B31" s="513" t="n">
        <v>42374.05243055556</v>
      </c>
      <c r="C31" s="514" t="s">
        <v>208</v>
      </c>
      <c r="D31" s="515" t="s">
        <v>205</v>
      </c>
      <c r="E31" s="516" t="s">
        <v>183</v>
      </c>
      <c r="F31" s="517" t="s">
        <v>183</v>
      </c>
      <c r="G31" s="518" t="s">
        <v>206</v>
      </c>
      <c r="H31" s="519" t="s">
        <v>183</v>
      </c>
      <c r="I31" s="520" t="s">
        <v>109</v>
      </c>
      <c r="J31" s="521" t="n">
        <v>-15.0</v>
      </c>
      <c r="K31" s="522" t="n">
        <v>45.36</v>
      </c>
      <c r="L31" s="523" t="s">
        <v>167</v>
      </c>
    </row>
    <row r="32" ht="24.75" customHeight="true">
      <c r="A32" s="524" t="n">
        <v>42373.7905787037</v>
      </c>
      <c r="B32" s="525" t="n">
        <v>42373.7905787037</v>
      </c>
      <c r="C32" s="526" t="s">
        <v>209</v>
      </c>
      <c r="D32" s="527" t="s">
        <v>170</v>
      </c>
      <c r="E32" s="528" t="s">
        <v>171</v>
      </c>
      <c r="F32" s="529" t="s">
        <v>172</v>
      </c>
      <c r="G32" s="530" t="n">
        <v>1.388888888888889E-4</v>
      </c>
      <c r="H32" s="531" t="s">
        <v>174</v>
      </c>
      <c r="I32" s="532" t="s">
        <v>109</v>
      </c>
      <c r="J32" s="533" t="n">
        <v>0.0</v>
      </c>
      <c r="K32" s="534" t="n">
        <v>60.36</v>
      </c>
      <c r="L32" s="535" t="s">
        <v>167</v>
      </c>
    </row>
    <row r="33" ht="24.75" customHeight="true">
      <c r="A33" s="536" t="n">
        <v>42373.78984953704</v>
      </c>
      <c r="B33" s="537" t="n">
        <v>42373.78984953704</v>
      </c>
      <c r="C33" s="538" t="s">
        <v>169</v>
      </c>
      <c r="D33" s="539" t="s">
        <v>170</v>
      </c>
      <c r="E33" s="540" t="s">
        <v>171</v>
      </c>
      <c r="F33" s="541" t="s">
        <v>172</v>
      </c>
      <c r="G33" s="542" t="n">
        <v>1.273148148148148E-4</v>
      </c>
      <c r="H33" s="543" t="s">
        <v>174</v>
      </c>
      <c r="I33" s="544" t="s">
        <v>109</v>
      </c>
      <c r="J33" s="545" t="n">
        <v>0.0</v>
      </c>
      <c r="K33" s="546" t="n">
        <v>60.36</v>
      </c>
      <c r="L33" s="547" t="s">
        <v>167</v>
      </c>
    </row>
    <row r="34" ht="24.75" customHeight="true">
      <c r="A34" s="548" t="n">
        <v>42373.776284722226</v>
      </c>
      <c r="B34" s="549" t="n">
        <v>42373.776284722226</v>
      </c>
      <c r="C34" s="550" t="s">
        <v>169</v>
      </c>
      <c r="D34" s="551" t="s">
        <v>170</v>
      </c>
      <c r="E34" s="552" t="s">
        <v>171</v>
      </c>
      <c r="F34" s="553" t="s">
        <v>172</v>
      </c>
      <c r="G34" s="554" t="n">
        <v>3.125E-4</v>
      </c>
      <c r="H34" s="555" t="s">
        <v>174</v>
      </c>
      <c r="I34" s="556" t="s">
        <v>109</v>
      </c>
      <c r="J34" s="557" t="n">
        <v>0.0</v>
      </c>
      <c r="K34" s="558" t="n">
        <v>60.36</v>
      </c>
      <c r="L34" s="559" t="s">
        <v>167</v>
      </c>
    </row>
    <row r="35" ht="24.75" customHeight="true">
      <c r="A35" s="560" t="n">
        <v>42373.73703703703</v>
      </c>
      <c r="B35" s="561" t="n">
        <v>42373.73703703703</v>
      </c>
      <c r="C35" s="562" t="s">
        <v>169</v>
      </c>
      <c r="D35" s="563" t="s">
        <v>170</v>
      </c>
      <c r="E35" s="564" t="s">
        <v>171</v>
      </c>
      <c r="F35" s="565" t="s">
        <v>172</v>
      </c>
      <c r="G35" s="566" t="n">
        <v>4.050925925925926E-4</v>
      </c>
      <c r="H35" s="567" t="s">
        <v>174</v>
      </c>
      <c r="I35" s="568" t="s">
        <v>109</v>
      </c>
      <c r="J35" s="569" t="n">
        <v>0.0</v>
      </c>
      <c r="K35" s="570" t="n">
        <v>60.36</v>
      </c>
      <c r="L35" s="571" t="s">
        <v>167</v>
      </c>
    </row>
    <row r="36" ht="24.75" customHeight="true">
      <c r="A36" s="572" t="n">
        <v>42373.719675925924</v>
      </c>
      <c r="B36" s="573" t="n">
        <v>42373.719675925924</v>
      </c>
      <c r="C36" s="574" t="s">
        <v>169</v>
      </c>
      <c r="D36" s="575" t="s">
        <v>170</v>
      </c>
      <c r="E36" s="576" t="s">
        <v>171</v>
      </c>
      <c r="F36" s="577" t="s">
        <v>172</v>
      </c>
      <c r="G36" s="578" t="n">
        <v>6.597222222222222E-4</v>
      </c>
      <c r="H36" s="579" t="s">
        <v>174</v>
      </c>
      <c r="I36" s="580" t="s">
        <v>109</v>
      </c>
      <c r="J36" s="581" t="n">
        <v>0.0</v>
      </c>
      <c r="K36" s="582" t="n">
        <v>60.36</v>
      </c>
      <c r="L36" s="583" t="s">
        <v>167</v>
      </c>
    </row>
    <row r="37" ht="24.75" customHeight="true">
      <c r="A37" s="584" t="n">
        <v>42373.63894675926</v>
      </c>
      <c r="B37" s="585" t="n">
        <v>42373.63894675926</v>
      </c>
      <c r="C37" s="586" t="s">
        <v>209</v>
      </c>
      <c r="D37" s="587" t="s">
        <v>170</v>
      </c>
      <c r="E37" s="588" t="s">
        <v>171</v>
      </c>
      <c r="F37" s="589" t="s">
        <v>172</v>
      </c>
      <c r="G37" s="590" t="n">
        <v>6.481481481481481E-4</v>
      </c>
      <c r="H37" s="591" t="s">
        <v>174</v>
      </c>
      <c r="I37" s="592" t="s">
        <v>109</v>
      </c>
      <c r="J37" s="593" t="n">
        <v>0.0</v>
      </c>
      <c r="K37" s="594" t="n">
        <v>60.36</v>
      </c>
      <c r="L37" s="595" t="s">
        <v>167</v>
      </c>
    </row>
    <row r="38" ht="24.75" customHeight="true">
      <c r="A38" s="596" t="n">
        <v>42373.581782407404</v>
      </c>
      <c r="B38" s="597" t="n">
        <v>42373.581782407404</v>
      </c>
      <c r="C38" s="598" t="s">
        <v>209</v>
      </c>
      <c r="D38" s="599" t="s">
        <v>170</v>
      </c>
      <c r="E38" s="600" t="s">
        <v>171</v>
      </c>
      <c r="F38" s="601" t="s">
        <v>172</v>
      </c>
      <c r="G38" s="602" t="n">
        <v>1.0416666666666667E-4</v>
      </c>
      <c r="H38" s="603" t="s">
        <v>174</v>
      </c>
      <c r="I38" s="604" t="s">
        <v>109</v>
      </c>
      <c r="J38" s="605" t="n">
        <v>0.0</v>
      </c>
      <c r="K38" s="606" t="n">
        <v>60.36</v>
      </c>
      <c r="L38" s="607" t="s">
        <v>167</v>
      </c>
    </row>
    <row r="39" ht="24.75" customHeight="true">
      <c r="A39" s="608" t="n">
        <v>42373.48364583333</v>
      </c>
      <c r="B39" s="609" t="n">
        <v>42373.48364583333</v>
      </c>
      <c r="C39" s="610" t="s">
        <v>209</v>
      </c>
      <c r="D39" s="611" t="s">
        <v>170</v>
      </c>
      <c r="E39" s="612" t="s">
        <v>171</v>
      </c>
      <c r="F39" s="613" t="s">
        <v>172</v>
      </c>
      <c r="G39" s="614" t="n">
        <v>2.546296296296296E-4</v>
      </c>
      <c r="H39" s="615" t="s">
        <v>174</v>
      </c>
      <c r="I39" s="616" t="s">
        <v>109</v>
      </c>
      <c r="J39" s="617" t="n">
        <v>0.0</v>
      </c>
      <c r="K39" s="618" t="n">
        <v>60.36</v>
      </c>
      <c r="L39" s="619" t="s">
        <v>167</v>
      </c>
    </row>
    <row r="40" ht="24.75" customHeight="true">
      <c r="A40" s="620" t="n">
        <v>42373.45613425926</v>
      </c>
      <c r="B40" s="621" t="n">
        <v>42373.45613425926</v>
      </c>
      <c r="C40" s="622" t="s">
        <v>169</v>
      </c>
      <c r="D40" s="623" t="s">
        <v>170</v>
      </c>
      <c r="E40" s="624" t="s">
        <v>171</v>
      </c>
      <c r="F40" s="625" t="s">
        <v>172</v>
      </c>
      <c r="G40" s="626" t="n">
        <v>9.722222222222222E-4</v>
      </c>
      <c r="H40" s="627" t="s">
        <v>174</v>
      </c>
      <c r="I40" s="628" t="s">
        <v>109</v>
      </c>
      <c r="J40" s="629" t="n">
        <v>0.0</v>
      </c>
      <c r="K40" s="630" t="n">
        <v>60.36</v>
      </c>
      <c r="L40" s="631" t="s">
        <v>167</v>
      </c>
    </row>
    <row r="41" ht="24.75" customHeight="true">
      <c r="A41" s="632" t="n">
        <v>42373.452569444446</v>
      </c>
      <c r="B41" s="633" t="n">
        <v>42373.452569444446</v>
      </c>
      <c r="C41" s="634" t="s">
        <v>209</v>
      </c>
      <c r="D41" s="635" t="s">
        <v>216</v>
      </c>
      <c r="E41" s="636" t="s">
        <v>183</v>
      </c>
      <c r="F41" s="637" t="s">
        <v>183</v>
      </c>
      <c r="G41" s="638" t="n">
        <v>6.018518518518519E-4</v>
      </c>
      <c r="H41" s="639" t="s">
        <v>174</v>
      </c>
      <c r="I41" s="640" t="s">
        <v>109</v>
      </c>
      <c r="J41" s="641" t="n">
        <v>0.0</v>
      </c>
      <c r="K41" s="642" t="n">
        <v>60.36</v>
      </c>
      <c r="L41" s="643" t="s">
        <v>167</v>
      </c>
    </row>
    <row r="42" ht="24.75" customHeight="true">
      <c r="A42" s="644" t="n">
        <v>42373.45040509259</v>
      </c>
      <c r="B42" s="645" t="n">
        <v>42373.45040509259</v>
      </c>
      <c r="C42" s="646" t="s">
        <v>169</v>
      </c>
      <c r="D42" s="647" t="s">
        <v>170</v>
      </c>
      <c r="E42" s="648" t="s">
        <v>171</v>
      </c>
      <c r="F42" s="649" t="s">
        <v>172</v>
      </c>
      <c r="G42" s="650" t="n">
        <v>4.861111111111111E-4</v>
      </c>
      <c r="H42" s="651" t="s">
        <v>174</v>
      </c>
      <c r="I42" s="652" t="s">
        <v>109</v>
      </c>
      <c r="J42" s="653" t="n">
        <v>0.0</v>
      </c>
      <c r="K42" s="654" t="n">
        <v>60.36</v>
      </c>
      <c r="L42" s="655" t="s">
        <v>167</v>
      </c>
    </row>
    <row r="43" ht="24.75" customHeight="true">
      <c r="A43" s="656" t="n">
        <v>42373.38376157408</v>
      </c>
      <c r="B43" s="657" t="n">
        <v>42373.38376157408</v>
      </c>
      <c r="C43" s="658" t="s">
        <v>126</v>
      </c>
      <c r="D43" s="659" t="s">
        <v>205</v>
      </c>
      <c r="E43" s="660" t="s">
        <v>183</v>
      </c>
      <c r="F43" s="661" t="s">
        <v>183</v>
      </c>
      <c r="G43" s="662" t="n">
        <v>19203.0</v>
      </c>
      <c r="H43" s="663" t="s">
        <v>218</v>
      </c>
      <c r="I43" s="664" t="s">
        <v>109</v>
      </c>
      <c r="J43" s="665" t="n">
        <v>0.0</v>
      </c>
      <c r="K43" s="666" t="s">
        <v>206</v>
      </c>
      <c r="L43" s="667" t="s">
        <v>167</v>
      </c>
    </row>
    <row r="44" ht="24.75" customHeight="true">
      <c r="A44" s="668" t="n">
        <v>42373.37159722222</v>
      </c>
      <c r="B44" s="669" t="n">
        <v>42373.37159722222</v>
      </c>
      <c r="C44" s="670" t="s">
        <v>126</v>
      </c>
      <c r="D44" s="671" t="s">
        <v>205</v>
      </c>
      <c r="E44" s="672" t="s">
        <v>183</v>
      </c>
      <c r="F44" s="673" t="s">
        <v>183</v>
      </c>
      <c r="G44" s="674" t="n">
        <v>20481.0</v>
      </c>
      <c r="H44" s="675" t="s">
        <v>218</v>
      </c>
      <c r="I44" s="676" t="s">
        <v>109</v>
      </c>
      <c r="J44" s="677" t="n">
        <v>0.0</v>
      </c>
      <c r="K44" s="678" t="s">
        <v>206</v>
      </c>
      <c r="L44" s="679" t="s">
        <v>167</v>
      </c>
    </row>
    <row r="45" ht="24.75" customHeight="true">
      <c r="A45" s="680" t="n">
        <v>42373.36025462963</v>
      </c>
      <c r="B45" s="681" t="n">
        <v>42373.36025462963</v>
      </c>
      <c r="C45" s="682" t="s">
        <v>169</v>
      </c>
      <c r="D45" s="683" t="s">
        <v>170</v>
      </c>
      <c r="E45" s="684" t="s">
        <v>171</v>
      </c>
      <c r="F45" s="685" t="s">
        <v>172</v>
      </c>
      <c r="G45" s="686" t="n">
        <v>1.7361111111111112E-4</v>
      </c>
      <c r="H45" s="687" t="s">
        <v>174</v>
      </c>
      <c r="I45" s="688" t="s">
        <v>109</v>
      </c>
      <c r="J45" s="689" t="n">
        <v>0.0</v>
      </c>
      <c r="K45" s="690" t="n">
        <v>60.36</v>
      </c>
      <c r="L45" s="691" t="s">
        <v>167</v>
      </c>
    </row>
    <row r="46" ht="24.75" customHeight="true">
      <c r="A46" s="692" t="n">
        <v>42373.350752314815</v>
      </c>
      <c r="B46" s="693" t="n">
        <v>42373.350752314815</v>
      </c>
      <c r="C46" s="694" t="s">
        <v>126</v>
      </c>
      <c r="D46" s="695" t="s">
        <v>205</v>
      </c>
      <c r="E46" s="696" t="s">
        <v>183</v>
      </c>
      <c r="F46" s="697" t="s">
        <v>183</v>
      </c>
      <c r="G46" s="698" t="n">
        <v>57470.0</v>
      </c>
      <c r="H46" s="699" t="s">
        <v>218</v>
      </c>
      <c r="I46" s="700" t="s">
        <v>109</v>
      </c>
      <c r="J46" s="701" t="n">
        <v>0.0</v>
      </c>
      <c r="K46" s="702" t="s">
        <v>206</v>
      </c>
      <c r="L46" s="703" t="s">
        <v>167</v>
      </c>
    </row>
    <row r="47" ht="24.75" customHeight="true">
      <c r="A47" s="704" t="n">
        <v>42373.34841435185</v>
      </c>
      <c r="B47" s="705" t="n">
        <v>42373.34841435185</v>
      </c>
      <c r="C47" s="706" t="s">
        <v>126</v>
      </c>
      <c r="D47" s="707" t="s">
        <v>205</v>
      </c>
      <c r="E47" s="708" t="s">
        <v>183</v>
      </c>
      <c r="F47" s="709" t="s">
        <v>183</v>
      </c>
      <c r="G47" s="710" t="n">
        <v>20482.0</v>
      </c>
      <c r="H47" s="711" t="s">
        <v>218</v>
      </c>
      <c r="I47" s="712" t="s">
        <v>109</v>
      </c>
      <c r="J47" s="713" t="n">
        <v>0.0</v>
      </c>
      <c r="K47" s="714" t="s">
        <v>206</v>
      </c>
      <c r="L47" s="715" t="s">
        <v>167</v>
      </c>
    </row>
    <row r="48" ht="24.75" customHeight="true">
      <c r="A48" s="716" t="n">
        <v>42373.34165509259</v>
      </c>
      <c r="B48" s="717" t="n">
        <v>42373.34165509259</v>
      </c>
      <c r="C48" s="718" t="s">
        <v>126</v>
      </c>
      <c r="D48" s="719" t="s">
        <v>205</v>
      </c>
      <c r="E48" s="720" t="s">
        <v>183</v>
      </c>
      <c r="F48" s="721" t="s">
        <v>183</v>
      </c>
      <c r="G48" s="722" t="n">
        <v>20481.0</v>
      </c>
      <c r="H48" s="723" t="s">
        <v>218</v>
      </c>
      <c r="I48" s="724" t="s">
        <v>109</v>
      </c>
      <c r="J48" s="725" t="n">
        <v>0.0</v>
      </c>
      <c r="K48" s="726" t="s">
        <v>206</v>
      </c>
      <c r="L48" s="727" t="s">
        <v>167</v>
      </c>
    </row>
    <row r="49" ht="24.75" customHeight="true">
      <c r="A49" s="728" t="n">
        <v>42373.32082175926</v>
      </c>
      <c r="B49" s="729" t="n">
        <v>42373.32082175926</v>
      </c>
      <c r="C49" s="730" t="s">
        <v>126</v>
      </c>
      <c r="D49" s="731" t="s">
        <v>205</v>
      </c>
      <c r="E49" s="732" t="s">
        <v>183</v>
      </c>
      <c r="F49" s="733" t="s">
        <v>183</v>
      </c>
      <c r="G49" s="734" t="n">
        <v>80934.0</v>
      </c>
      <c r="H49" s="735" t="s">
        <v>218</v>
      </c>
      <c r="I49" s="736" t="s">
        <v>109</v>
      </c>
      <c r="J49" s="737" t="n">
        <v>0.0</v>
      </c>
      <c r="K49" s="738" t="s">
        <v>206</v>
      </c>
      <c r="L49" s="739" t="s">
        <v>167</v>
      </c>
    </row>
    <row r="50" ht="24.75" customHeight="true">
      <c r="A50" s="740" t="n">
        <v>42373.31898148148</v>
      </c>
      <c r="B50" s="741" t="n">
        <v>42373.31898148148</v>
      </c>
      <c r="C50" s="742" t="s">
        <v>126</v>
      </c>
      <c r="D50" s="743" t="s">
        <v>205</v>
      </c>
      <c r="E50" s="744" t="s">
        <v>183</v>
      </c>
      <c r="F50" s="745" t="s">
        <v>183</v>
      </c>
      <c r="G50" s="746" t="n">
        <v>20481.0</v>
      </c>
      <c r="H50" s="747" t="s">
        <v>218</v>
      </c>
      <c r="I50" s="748" t="s">
        <v>109</v>
      </c>
      <c r="J50" s="749" t="n">
        <v>0.0</v>
      </c>
      <c r="K50" s="750" t="s">
        <v>206</v>
      </c>
      <c r="L50" s="751" t="s">
        <v>167</v>
      </c>
    </row>
    <row r="51" ht="24.75" customHeight="true">
      <c r="A51" s="752" t="n">
        <v>42373.31159722222</v>
      </c>
      <c r="B51" s="753" t="n">
        <v>42373.31159722222</v>
      </c>
      <c r="C51" s="754" t="s">
        <v>126</v>
      </c>
      <c r="D51" s="755" t="s">
        <v>205</v>
      </c>
      <c r="E51" s="756" t="s">
        <v>183</v>
      </c>
      <c r="F51" s="757" t="s">
        <v>183</v>
      </c>
      <c r="G51" s="758" t="n">
        <v>20482.0</v>
      </c>
      <c r="H51" s="759" t="s">
        <v>218</v>
      </c>
      <c r="I51" s="760" t="s">
        <v>109</v>
      </c>
      <c r="J51" s="761" t="n">
        <v>0.0</v>
      </c>
      <c r="K51" s="762" t="s">
        <v>206</v>
      </c>
      <c r="L51" s="763" t="s">
        <v>167</v>
      </c>
    </row>
    <row r="52" ht="24.75" customHeight="true">
      <c r="A52" s="764" t="n">
        <v>42373.30383101852</v>
      </c>
      <c r="B52" s="765" t="n">
        <v>42373.30383101852</v>
      </c>
      <c r="C52" s="766" t="s">
        <v>126</v>
      </c>
      <c r="D52" s="767" t="s">
        <v>205</v>
      </c>
      <c r="E52" s="768" t="s">
        <v>183</v>
      </c>
      <c r="F52" s="769" t="s">
        <v>183</v>
      </c>
      <c r="G52" s="770" t="n">
        <v>20481.0</v>
      </c>
      <c r="H52" s="771" t="s">
        <v>218</v>
      </c>
      <c r="I52" s="772" t="s">
        <v>109</v>
      </c>
      <c r="J52" s="773" t="n">
        <v>0.0</v>
      </c>
      <c r="K52" s="774" t="s">
        <v>206</v>
      </c>
      <c r="L52" s="775" t="s">
        <v>167</v>
      </c>
    </row>
    <row r="53" ht="24.75" customHeight="true">
      <c r="A53" s="776" t="n">
        <v>42373.21057870371</v>
      </c>
      <c r="B53" s="777" t="n">
        <v>42373.21057870371</v>
      </c>
      <c r="C53" s="778" t="s">
        <v>126</v>
      </c>
      <c r="D53" s="779" t="s">
        <v>205</v>
      </c>
      <c r="E53" s="780" t="s">
        <v>183</v>
      </c>
      <c r="F53" s="781" t="s">
        <v>183</v>
      </c>
      <c r="G53" s="782" t="n">
        <v>1179.0</v>
      </c>
      <c r="H53" s="783" t="s">
        <v>218</v>
      </c>
      <c r="I53" s="784" t="s">
        <v>109</v>
      </c>
      <c r="J53" s="785" t="n">
        <v>0.0</v>
      </c>
      <c r="K53" s="786" t="s">
        <v>206</v>
      </c>
      <c r="L53" s="787" t="s">
        <v>167</v>
      </c>
    </row>
    <row r="54" ht="24.75" customHeight="true">
      <c r="A54" s="788" t="n">
        <v>42373.18974537037</v>
      </c>
      <c r="B54" s="789" t="n">
        <v>42373.18974537037</v>
      </c>
      <c r="C54" s="790" t="s">
        <v>126</v>
      </c>
      <c r="D54" s="791" t="s">
        <v>205</v>
      </c>
      <c r="E54" s="792" t="s">
        <v>183</v>
      </c>
      <c r="F54" s="793" t="s">
        <v>183</v>
      </c>
      <c r="G54" s="794" t="n">
        <v>5512.0</v>
      </c>
      <c r="H54" s="795" t="s">
        <v>218</v>
      </c>
      <c r="I54" s="796" t="s">
        <v>109</v>
      </c>
      <c r="J54" s="797" t="n">
        <v>0.0</v>
      </c>
      <c r="K54" s="798" t="s">
        <v>206</v>
      </c>
      <c r="L54" s="799" t="s">
        <v>167</v>
      </c>
    </row>
    <row r="55" ht="24.75" customHeight="true">
      <c r="A55" s="800" t="n">
        <v>42373.17717592593</v>
      </c>
      <c r="B55" s="801" t="n">
        <v>42373.17717592593</v>
      </c>
      <c r="C55" s="802" t="s">
        <v>126</v>
      </c>
      <c r="D55" s="803" t="s">
        <v>205</v>
      </c>
      <c r="E55" s="804" t="s">
        <v>183</v>
      </c>
      <c r="F55" s="805" t="s">
        <v>183</v>
      </c>
      <c r="G55" s="806" t="n">
        <v>81922.0</v>
      </c>
      <c r="H55" s="807" t="s">
        <v>218</v>
      </c>
      <c r="I55" s="808" t="s">
        <v>109</v>
      </c>
      <c r="J55" s="809" t="n">
        <v>0.0</v>
      </c>
      <c r="K55" s="810" t="s">
        <v>206</v>
      </c>
      <c r="L55" s="811" t="s">
        <v>167</v>
      </c>
    </row>
    <row r="56" ht="24.75" customHeight="true">
      <c r="A56" s="812" t="n">
        <v>42373.173263888886</v>
      </c>
      <c r="B56" s="813" t="n">
        <v>42373.173263888886</v>
      </c>
      <c r="C56" s="814" t="s">
        <v>126</v>
      </c>
      <c r="D56" s="815" t="s">
        <v>205</v>
      </c>
      <c r="E56" s="816" t="s">
        <v>183</v>
      </c>
      <c r="F56" s="817" t="s">
        <v>183</v>
      </c>
      <c r="G56" s="818" t="n">
        <v>20481.0</v>
      </c>
      <c r="H56" s="819" t="s">
        <v>218</v>
      </c>
      <c r="I56" s="820" t="s">
        <v>109</v>
      </c>
      <c r="J56" s="821" t="n">
        <v>0.0</v>
      </c>
      <c r="K56" s="822" t="s">
        <v>206</v>
      </c>
      <c r="L56" s="823" t="s">
        <v>167</v>
      </c>
    </row>
    <row r="57" ht="24.75" customHeight="true">
      <c r="A57" s="824" t="n">
        <v>42373.167650462965</v>
      </c>
      <c r="B57" s="825" t="n">
        <v>42373.167650462965</v>
      </c>
      <c r="C57" s="826" t="s">
        <v>126</v>
      </c>
      <c r="D57" s="827" t="s">
        <v>205</v>
      </c>
      <c r="E57" s="828" t="s">
        <v>183</v>
      </c>
      <c r="F57" s="829" t="s">
        <v>183</v>
      </c>
      <c r="G57" s="830" t="n">
        <v>20481.0</v>
      </c>
      <c r="H57" s="831" t="s">
        <v>218</v>
      </c>
      <c r="I57" s="832" t="s">
        <v>109</v>
      </c>
      <c r="J57" s="833" t="n">
        <v>0.0</v>
      </c>
      <c r="K57" s="834" t="s">
        <v>206</v>
      </c>
      <c r="L57" s="835" t="s">
        <v>167</v>
      </c>
    </row>
    <row r="58" ht="24.75" customHeight="true">
      <c r="A58" s="836" t="n">
        <v>42373.16162037037</v>
      </c>
      <c r="B58" s="837" t="n">
        <v>42373.16162037037</v>
      </c>
      <c r="C58" s="838" t="s">
        <v>126</v>
      </c>
      <c r="D58" s="839" t="s">
        <v>205</v>
      </c>
      <c r="E58" s="840" t="s">
        <v>183</v>
      </c>
      <c r="F58" s="841" t="s">
        <v>183</v>
      </c>
      <c r="G58" s="842" t="n">
        <v>20481.0</v>
      </c>
      <c r="H58" s="843" t="s">
        <v>218</v>
      </c>
      <c r="I58" s="844" t="s">
        <v>109</v>
      </c>
      <c r="J58" s="845" t="n">
        <v>0.0</v>
      </c>
      <c r="K58" s="846" t="s">
        <v>206</v>
      </c>
      <c r="L58" s="847" t="s">
        <v>167</v>
      </c>
    </row>
    <row r="59" ht="24.75" customHeight="true">
      <c r="A59" s="848" t="n">
        <v>42373.14078703704</v>
      </c>
      <c r="B59" s="849" t="n">
        <v>42373.14078703704</v>
      </c>
      <c r="C59" s="850" t="s">
        <v>126</v>
      </c>
      <c r="D59" s="851" t="s">
        <v>205</v>
      </c>
      <c r="E59" s="852" t="s">
        <v>183</v>
      </c>
      <c r="F59" s="853" t="s">
        <v>183</v>
      </c>
      <c r="G59" s="854" t="n">
        <v>74277.0</v>
      </c>
      <c r="H59" s="855" t="s">
        <v>218</v>
      </c>
      <c r="I59" s="856" t="s">
        <v>109</v>
      </c>
      <c r="J59" s="857" t="n">
        <v>0.0</v>
      </c>
      <c r="K59" s="858" t="s">
        <v>206</v>
      </c>
      <c r="L59" s="859" t="s">
        <v>167</v>
      </c>
    </row>
    <row r="60" ht="24.75" customHeight="true">
      <c r="A60" s="860" t="n">
        <v>42373.138645833336</v>
      </c>
      <c r="B60" s="861" t="n">
        <v>42373.138645833336</v>
      </c>
      <c r="C60" s="862" t="s">
        <v>126</v>
      </c>
      <c r="D60" s="863" t="s">
        <v>205</v>
      </c>
      <c r="E60" s="864" t="s">
        <v>183</v>
      </c>
      <c r="F60" s="865" t="s">
        <v>183</v>
      </c>
      <c r="G60" s="866" t="n">
        <v>20482.0</v>
      </c>
      <c r="H60" s="867" t="s">
        <v>218</v>
      </c>
      <c r="I60" s="868" t="s">
        <v>109</v>
      </c>
      <c r="J60" s="869" t="n">
        <v>0.0</v>
      </c>
      <c r="K60" s="870" t="s">
        <v>206</v>
      </c>
      <c r="L60" s="871" t="s">
        <v>167</v>
      </c>
    </row>
    <row r="61" ht="24.75" customHeight="true">
      <c r="A61" s="872" t="n">
        <v>42373.13655092593</v>
      </c>
      <c r="B61" s="873" t="n">
        <v>42373.13655092593</v>
      </c>
      <c r="C61" s="874" t="s">
        <v>126</v>
      </c>
      <c r="D61" s="875" t="s">
        <v>205</v>
      </c>
      <c r="E61" s="876" t="s">
        <v>183</v>
      </c>
      <c r="F61" s="877" t="s">
        <v>183</v>
      </c>
      <c r="G61" s="878" t="n">
        <v>1196.0</v>
      </c>
      <c r="H61" s="879" t="s">
        <v>218</v>
      </c>
      <c r="I61" s="880" t="s">
        <v>109</v>
      </c>
      <c r="J61" s="881" t="n">
        <v>0.0</v>
      </c>
      <c r="K61" s="882" t="s">
        <v>206</v>
      </c>
      <c r="L61" s="883" t="s">
        <v>167</v>
      </c>
    </row>
    <row r="62" ht="24.75" customHeight="true">
      <c r="A62" s="884" t="n">
        <v>42373.12939814815</v>
      </c>
      <c r="B62" s="885" t="n">
        <v>42373.12939814815</v>
      </c>
      <c r="C62" s="886" t="s">
        <v>126</v>
      </c>
      <c r="D62" s="887" t="s">
        <v>205</v>
      </c>
      <c r="E62" s="888" t="s">
        <v>183</v>
      </c>
      <c r="F62" s="889" t="s">
        <v>183</v>
      </c>
      <c r="G62" s="890" t="n">
        <v>30621.0</v>
      </c>
      <c r="H62" s="891" t="s">
        <v>218</v>
      </c>
      <c r="I62" s="892" t="s">
        <v>109</v>
      </c>
      <c r="J62" s="893" t="n">
        <v>0.0</v>
      </c>
      <c r="K62" s="894" t="s">
        <v>206</v>
      </c>
      <c r="L62" s="895" t="s">
        <v>167</v>
      </c>
    </row>
    <row r="63" ht="24.75" customHeight="true">
      <c r="A63" s="896" t="n">
        <v>42373.11399305556</v>
      </c>
      <c r="B63" s="897" t="n">
        <v>42373.11399305556</v>
      </c>
      <c r="C63" s="898" t="s">
        <v>126</v>
      </c>
      <c r="D63" s="899" t="s">
        <v>205</v>
      </c>
      <c r="E63" s="900" t="s">
        <v>183</v>
      </c>
      <c r="F63" s="901" t="s">
        <v>183</v>
      </c>
      <c r="G63" s="902" t="n">
        <v>81921.0</v>
      </c>
      <c r="H63" s="903" t="s">
        <v>218</v>
      </c>
      <c r="I63" s="904" t="s">
        <v>109</v>
      </c>
      <c r="J63" s="905" t="n">
        <v>0.0</v>
      </c>
      <c r="K63" s="906" t="s">
        <v>206</v>
      </c>
      <c r="L63" s="907" t="s">
        <v>167</v>
      </c>
    </row>
    <row r="64" ht="24.75" customHeight="true">
      <c r="A64" s="908" t="n">
        <v>42373.109988425924</v>
      </c>
      <c r="B64" s="909" t="n">
        <v>42373.109988425924</v>
      </c>
      <c r="C64" s="910" t="s">
        <v>231</v>
      </c>
      <c r="D64" s="911" t="s">
        <v>205</v>
      </c>
      <c r="E64" s="912" t="s">
        <v>183</v>
      </c>
      <c r="F64" s="913" t="s">
        <v>183</v>
      </c>
      <c r="G64" s="914" t="s">
        <v>206</v>
      </c>
      <c r="H64" s="915" t="s">
        <v>183</v>
      </c>
      <c r="I64" s="916" t="s">
        <v>109</v>
      </c>
      <c r="J64" s="917" t="n">
        <v>-5.0</v>
      </c>
      <c r="K64" s="918" t="n">
        <v>60.36</v>
      </c>
      <c r="L64" s="919" t="s">
        <v>167</v>
      </c>
    </row>
    <row r="65" ht="24.75" customHeight="true">
      <c r="A65" s="920" t="n">
        <v>42373.096342592595</v>
      </c>
      <c r="B65" s="921" t="n">
        <v>42373.096342592595</v>
      </c>
      <c r="C65" s="922" t="s">
        <v>126</v>
      </c>
      <c r="D65" s="923" t="s">
        <v>205</v>
      </c>
      <c r="E65" s="924" t="s">
        <v>183</v>
      </c>
      <c r="F65" s="925" t="s">
        <v>183</v>
      </c>
      <c r="G65" s="926" t="n">
        <v>81922.0</v>
      </c>
      <c r="H65" s="927" t="s">
        <v>218</v>
      </c>
      <c r="I65" s="928" t="s">
        <v>109</v>
      </c>
      <c r="J65" s="929" t="n">
        <v>0.0</v>
      </c>
      <c r="K65" s="930" t="s">
        <v>206</v>
      </c>
      <c r="L65" s="931" t="s">
        <v>167</v>
      </c>
    </row>
    <row r="66" ht="24.75" customHeight="true">
      <c r="A66" s="932" t="n">
        <v>42373.08180555556</v>
      </c>
      <c r="B66" s="933" t="n">
        <v>42373.08180555556</v>
      </c>
      <c r="C66" s="934" t="s">
        <v>126</v>
      </c>
      <c r="D66" s="935" t="s">
        <v>205</v>
      </c>
      <c r="E66" s="936" t="s">
        <v>183</v>
      </c>
      <c r="F66" s="937" t="s">
        <v>183</v>
      </c>
      <c r="G66" s="938" t="n">
        <v>81921.0</v>
      </c>
      <c r="H66" s="939" t="s">
        <v>218</v>
      </c>
      <c r="I66" s="940" t="s">
        <v>109</v>
      </c>
      <c r="J66" s="941" t="n">
        <v>0.0</v>
      </c>
      <c r="K66" s="942" t="s">
        <v>206</v>
      </c>
      <c r="L66" s="943" t="s">
        <v>167</v>
      </c>
    </row>
    <row r="67" ht="24.75" customHeight="true">
      <c r="A67" s="944" t="n">
        <v>42373.05914351852</v>
      </c>
      <c r="B67" s="945" t="n">
        <v>42373.05914351852</v>
      </c>
      <c r="C67" s="946" t="s">
        <v>126</v>
      </c>
      <c r="D67" s="947" t="s">
        <v>205</v>
      </c>
      <c r="E67" s="948" t="s">
        <v>183</v>
      </c>
      <c r="F67" s="949" t="s">
        <v>183</v>
      </c>
      <c r="G67" s="950" t="n">
        <v>20481.0</v>
      </c>
      <c r="H67" s="951" t="s">
        <v>218</v>
      </c>
      <c r="I67" s="952" t="s">
        <v>109</v>
      </c>
      <c r="J67" s="953" t="n">
        <v>0.0</v>
      </c>
      <c r="K67" s="954" t="s">
        <v>206</v>
      </c>
      <c r="L67" s="955" t="s">
        <v>167</v>
      </c>
    </row>
    <row r="68" ht="24.75" customHeight="true">
      <c r="A68" s="956" t="n">
        <v>42373.05233796296</v>
      </c>
      <c r="B68" s="957" t="n">
        <v>42373.05233796296</v>
      </c>
      <c r="C68" s="958" t="s">
        <v>126</v>
      </c>
      <c r="D68" s="959" t="s">
        <v>205</v>
      </c>
      <c r="E68" s="960" t="s">
        <v>183</v>
      </c>
      <c r="F68" s="961" t="s">
        <v>183</v>
      </c>
      <c r="G68" s="962" t="n">
        <v>20481.0</v>
      </c>
      <c r="H68" s="963" t="s">
        <v>218</v>
      </c>
      <c r="I68" s="964" t="s">
        <v>109</v>
      </c>
      <c r="J68" s="965" t="n">
        <v>0.0</v>
      </c>
      <c r="K68" s="966" t="s">
        <v>206</v>
      </c>
      <c r="L68" s="967" t="s">
        <v>167</v>
      </c>
    </row>
    <row r="69" ht="24.75" customHeight="true">
      <c r="A69" s="968" t="n">
        <v>42373.02072916667</v>
      </c>
      <c r="B69" s="969" t="n">
        <v>42373.02072916667</v>
      </c>
      <c r="C69" s="970" t="s">
        <v>126</v>
      </c>
      <c r="D69" s="971" t="s">
        <v>205</v>
      </c>
      <c r="E69" s="972" t="s">
        <v>183</v>
      </c>
      <c r="F69" s="973" t="s">
        <v>183</v>
      </c>
      <c r="G69" s="974" t="n">
        <v>20481.0</v>
      </c>
      <c r="H69" s="975" t="s">
        <v>218</v>
      </c>
      <c r="I69" s="976" t="s">
        <v>109</v>
      </c>
      <c r="J69" s="977" t="n">
        <v>0.0</v>
      </c>
      <c r="K69" s="978" t="s">
        <v>206</v>
      </c>
      <c r="L69" s="979" t="s">
        <v>167</v>
      </c>
    </row>
    <row r="70" ht="24.75" customHeight="true">
      <c r="A70" s="980" t="n">
        <v>42373.02019675926</v>
      </c>
      <c r="B70" s="981" t="n">
        <v>42373.02019675926</v>
      </c>
      <c r="C70" s="982" t="s">
        <v>126</v>
      </c>
      <c r="D70" s="983" t="s">
        <v>205</v>
      </c>
      <c r="E70" s="984" t="s">
        <v>183</v>
      </c>
      <c r="F70" s="985" t="s">
        <v>183</v>
      </c>
      <c r="G70" s="986" t="n">
        <v>153.0</v>
      </c>
      <c r="H70" s="987" t="s">
        <v>218</v>
      </c>
      <c r="I70" s="988" t="s">
        <v>109</v>
      </c>
      <c r="J70" s="989" t="n">
        <v>0.0</v>
      </c>
      <c r="K70" s="990" t="s">
        <v>206</v>
      </c>
      <c r="L70" s="991" t="s">
        <v>167</v>
      </c>
    </row>
    <row r="71" ht="24.75" customHeight="true">
      <c r="A71" s="992" t="n">
        <v>42373.01996527778</v>
      </c>
      <c r="B71" s="993" t="n">
        <v>42373.01996527778</v>
      </c>
      <c r="C71" s="994" t="s">
        <v>126</v>
      </c>
      <c r="D71" s="995" t="s">
        <v>205</v>
      </c>
      <c r="E71" s="996" t="s">
        <v>183</v>
      </c>
      <c r="F71" s="997" t="s">
        <v>183</v>
      </c>
      <c r="G71" s="998" t="n">
        <v>8.0</v>
      </c>
      <c r="H71" s="999" t="s">
        <v>218</v>
      </c>
      <c r="I71" s="1000" t="s">
        <v>109</v>
      </c>
      <c r="J71" s="1001" t="n">
        <v>0.0</v>
      </c>
      <c r="K71" s="1002" t="s">
        <v>206</v>
      </c>
      <c r="L71" s="1003" t="s">
        <v>167</v>
      </c>
    </row>
    <row r="72" ht="24.75" customHeight="true">
      <c r="A72" s="1004" t="n">
        <v>42373.01975694444</v>
      </c>
      <c r="B72" s="1005" t="n">
        <v>42373.01975694444</v>
      </c>
      <c r="C72" s="1006" t="s">
        <v>126</v>
      </c>
      <c r="D72" s="1007" t="s">
        <v>205</v>
      </c>
      <c r="E72" s="1008" t="s">
        <v>183</v>
      </c>
      <c r="F72" s="1009" t="s">
        <v>183</v>
      </c>
      <c r="G72" s="1010" t="n">
        <v>114.0</v>
      </c>
      <c r="H72" s="1011" t="s">
        <v>218</v>
      </c>
      <c r="I72" s="1012" t="s">
        <v>109</v>
      </c>
      <c r="J72" s="1013" t="n">
        <v>0.0</v>
      </c>
      <c r="K72" s="1014" t="s">
        <v>206</v>
      </c>
      <c r="L72" s="1015" t="s">
        <v>167</v>
      </c>
    </row>
    <row r="73" ht="24.75" customHeight="true">
      <c r="A73" s="1016" t="n">
        <v>42373.019594907404</v>
      </c>
      <c r="B73" s="1017" t="n">
        <v>42373.019594907404</v>
      </c>
      <c r="C73" s="1018" t="s">
        <v>126</v>
      </c>
      <c r="D73" s="1019" t="s">
        <v>205</v>
      </c>
      <c r="E73" s="1020" t="s">
        <v>183</v>
      </c>
      <c r="F73" s="1021" t="s">
        <v>183</v>
      </c>
      <c r="G73" s="1022" t="n">
        <v>56.0</v>
      </c>
      <c r="H73" s="1023" t="s">
        <v>218</v>
      </c>
      <c r="I73" s="1024" t="s">
        <v>109</v>
      </c>
      <c r="J73" s="1025" t="n">
        <v>0.0</v>
      </c>
      <c r="K73" s="1026" t="s">
        <v>206</v>
      </c>
      <c r="L73" s="1027" t="s">
        <v>167</v>
      </c>
    </row>
    <row r="74" ht="24.75" customHeight="true">
      <c r="A74" s="1028" t="n">
        <v>42373.019328703704</v>
      </c>
      <c r="B74" s="1029" t="n">
        <v>42373.019328703704</v>
      </c>
      <c r="C74" s="1030" t="s">
        <v>126</v>
      </c>
      <c r="D74" s="1031" t="s">
        <v>205</v>
      </c>
      <c r="E74" s="1032" t="s">
        <v>183</v>
      </c>
      <c r="F74" s="1033" t="s">
        <v>183</v>
      </c>
      <c r="G74" s="1034" t="n">
        <v>411.0</v>
      </c>
      <c r="H74" s="1035" t="s">
        <v>218</v>
      </c>
      <c r="I74" s="1036" t="s">
        <v>109</v>
      </c>
      <c r="J74" s="1037" t="n">
        <v>0.0</v>
      </c>
      <c r="K74" s="1038" t="s">
        <v>206</v>
      </c>
      <c r="L74" s="1039" t="s">
        <v>167</v>
      </c>
    </row>
    <row r="75" ht="24.75" customHeight="true">
      <c r="A75" s="1040" t="n">
        <v>42373.01917824074</v>
      </c>
      <c r="B75" s="1041" t="n">
        <v>42373.01917824074</v>
      </c>
      <c r="C75" s="1042" t="s">
        <v>126</v>
      </c>
      <c r="D75" s="1043" t="s">
        <v>205</v>
      </c>
      <c r="E75" s="1044" t="s">
        <v>183</v>
      </c>
      <c r="F75" s="1045" t="s">
        <v>183</v>
      </c>
      <c r="G75" s="1046" t="n">
        <v>11.0</v>
      </c>
      <c r="H75" s="1047" t="s">
        <v>218</v>
      </c>
      <c r="I75" s="1048" t="s">
        <v>109</v>
      </c>
      <c r="J75" s="1049" t="n">
        <v>0.0</v>
      </c>
      <c r="K75" s="1050" t="s">
        <v>206</v>
      </c>
      <c r="L75" s="1051" t="s">
        <v>167</v>
      </c>
    </row>
    <row r="76" ht="24.75" customHeight="true">
      <c r="A76" s="1052" t="n">
        <v>42373.0190162037</v>
      </c>
      <c r="B76" s="1053" t="n">
        <v>42373.0190162037</v>
      </c>
      <c r="C76" s="1054" t="s">
        <v>126</v>
      </c>
      <c r="D76" s="1055" t="s">
        <v>205</v>
      </c>
      <c r="E76" s="1056" t="s">
        <v>183</v>
      </c>
      <c r="F76" s="1057" t="s">
        <v>183</v>
      </c>
      <c r="G76" s="1058" t="n">
        <v>144.0</v>
      </c>
      <c r="H76" s="1059" t="s">
        <v>218</v>
      </c>
      <c r="I76" s="1060" t="s">
        <v>109</v>
      </c>
      <c r="J76" s="1061" t="n">
        <v>0.0</v>
      </c>
      <c r="K76" s="1062" t="s">
        <v>206</v>
      </c>
      <c r="L76" s="1063" t="s">
        <v>167</v>
      </c>
    </row>
    <row r="77" ht="24.75" customHeight="true">
      <c r="A77" s="1064" t="n">
        <v>42373.00021990741</v>
      </c>
      <c r="B77" s="1065" t="n">
        <v>42373.00021990741</v>
      </c>
      <c r="C77" s="1066" t="s">
        <v>126</v>
      </c>
      <c r="D77" s="1067" t="s">
        <v>205</v>
      </c>
      <c r="E77" s="1068" t="s">
        <v>183</v>
      </c>
      <c r="F77" s="1069" t="s">
        <v>183</v>
      </c>
      <c r="G77" s="1070" t="n">
        <v>64699.0</v>
      </c>
      <c r="H77" s="1071" t="s">
        <v>218</v>
      </c>
      <c r="I77" s="1072" t="s">
        <v>109</v>
      </c>
      <c r="J77" s="1073" t="n">
        <v>0.0</v>
      </c>
      <c r="K77" s="1074" t="s">
        <v>206</v>
      </c>
      <c r="L77" s="1075" t="s">
        <v>167</v>
      </c>
    </row>
    <row r="78" ht="24.75" customHeight="true">
      <c r="A78" s="1076" t="n">
        <v>42372.983460648145</v>
      </c>
      <c r="B78" s="1077" t="n">
        <v>42372.983460648145</v>
      </c>
      <c r="C78" s="1078" t="s">
        <v>126</v>
      </c>
      <c r="D78" s="1079" t="s">
        <v>205</v>
      </c>
      <c r="E78" s="1080" t="s">
        <v>183</v>
      </c>
      <c r="F78" s="1081" t="s">
        <v>183</v>
      </c>
      <c r="G78" s="1082" t="n">
        <v>81922.0</v>
      </c>
      <c r="H78" s="1083" t="s">
        <v>218</v>
      </c>
      <c r="I78" s="1084" t="s">
        <v>109</v>
      </c>
      <c r="J78" s="1085" t="n">
        <v>0.0</v>
      </c>
      <c r="K78" s="1086" t="s">
        <v>206</v>
      </c>
      <c r="L78" s="1087" t="s">
        <v>167</v>
      </c>
    </row>
    <row r="79" ht="24.75" customHeight="true">
      <c r="A79" s="1088" t="n">
        <v>42372.980729166666</v>
      </c>
      <c r="B79" s="1089" t="n">
        <v>42372.980729166666</v>
      </c>
      <c r="C79" s="1090" t="s">
        <v>126</v>
      </c>
      <c r="D79" s="1091" t="s">
        <v>205</v>
      </c>
      <c r="E79" s="1092" t="s">
        <v>183</v>
      </c>
      <c r="F79" s="1093" t="s">
        <v>183</v>
      </c>
      <c r="G79" s="1094" t="n">
        <v>20482.0</v>
      </c>
      <c r="H79" s="1095" t="s">
        <v>218</v>
      </c>
      <c r="I79" s="1096" t="s">
        <v>109</v>
      </c>
      <c r="J79" s="1097" t="n">
        <v>0.0</v>
      </c>
      <c r="K79" s="1098" t="s">
        <v>206</v>
      </c>
      <c r="L79" s="1099" t="s">
        <v>167</v>
      </c>
    </row>
    <row r="80" ht="24.75" customHeight="true">
      <c r="A80" s="1100" t="n">
        <v>42372.96475694444</v>
      </c>
      <c r="B80" s="1101" t="n">
        <v>42372.96475694444</v>
      </c>
      <c r="C80" s="1102" t="s">
        <v>126</v>
      </c>
      <c r="D80" s="1103" t="s">
        <v>205</v>
      </c>
      <c r="E80" s="1104" t="s">
        <v>183</v>
      </c>
      <c r="F80" s="1105" t="s">
        <v>183</v>
      </c>
      <c r="G80" s="1106" t="n">
        <v>20481.0</v>
      </c>
      <c r="H80" s="1107" t="s">
        <v>218</v>
      </c>
      <c r="I80" s="1108" t="s">
        <v>109</v>
      </c>
      <c r="J80" s="1109" t="n">
        <v>0.0</v>
      </c>
      <c r="K80" s="1110" t="s">
        <v>206</v>
      </c>
      <c r="L80" s="1111" t="s">
        <v>167</v>
      </c>
    </row>
    <row r="81" ht="24.75" customHeight="true">
      <c r="A81" s="1112" t="n">
        <v>42372.96288194445</v>
      </c>
      <c r="B81" s="1113" t="n">
        <v>42372.96288194445</v>
      </c>
      <c r="C81" s="1114" t="s">
        <v>126</v>
      </c>
      <c r="D81" s="1115" t="s">
        <v>205</v>
      </c>
      <c r="E81" s="1116" t="s">
        <v>183</v>
      </c>
      <c r="F81" s="1117" t="s">
        <v>183</v>
      </c>
      <c r="G81" s="1118" t="n">
        <v>138.0</v>
      </c>
      <c r="H81" s="1119" t="s">
        <v>218</v>
      </c>
      <c r="I81" s="1120" t="s">
        <v>109</v>
      </c>
      <c r="J81" s="1121" t="n">
        <v>0.0</v>
      </c>
      <c r="K81" s="1122" t="s">
        <v>206</v>
      </c>
      <c r="L81" s="1123" t="s">
        <v>167</v>
      </c>
    </row>
    <row r="82" ht="24.75" customHeight="true">
      <c r="A82" s="1124" t="n">
        <v>42372.96060185185</v>
      </c>
      <c r="B82" s="1125" t="n">
        <v>42372.96060185185</v>
      </c>
      <c r="C82" s="1126" t="s">
        <v>126</v>
      </c>
      <c r="D82" s="1127" t="s">
        <v>205</v>
      </c>
      <c r="E82" s="1128" t="s">
        <v>183</v>
      </c>
      <c r="F82" s="1129" t="s">
        <v>183</v>
      </c>
      <c r="G82" s="1130" t="n">
        <v>8228.0</v>
      </c>
      <c r="H82" s="1131" t="s">
        <v>218</v>
      </c>
      <c r="I82" s="1132" t="s">
        <v>109</v>
      </c>
      <c r="J82" s="1133" t="n">
        <v>0.0</v>
      </c>
      <c r="K82" s="1134" t="s">
        <v>206</v>
      </c>
      <c r="L82" s="1135" t="s">
        <v>167</v>
      </c>
    </row>
    <row r="83" ht="24.75" customHeight="true">
      <c r="A83" s="1136" t="n">
        <v>42372.95927083334</v>
      </c>
      <c r="B83" s="1137" t="n">
        <v>42372.95927083334</v>
      </c>
      <c r="C83" s="1138" t="s">
        <v>126</v>
      </c>
      <c r="D83" s="1139" t="s">
        <v>205</v>
      </c>
      <c r="E83" s="1140" t="s">
        <v>183</v>
      </c>
      <c r="F83" s="1141" t="s">
        <v>183</v>
      </c>
      <c r="G83" s="1142" t="n">
        <v>20482.0</v>
      </c>
      <c r="H83" s="1143" t="s">
        <v>218</v>
      </c>
      <c r="I83" s="1144" t="s">
        <v>109</v>
      </c>
      <c r="J83" s="1145" t="n">
        <v>0.0</v>
      </c>
      <c r="K83" s="1146" t="s">
        <v>206</v>
      </c>
      <c r="L83" s="1147" t="s">
        <v>167</v>
      </c>
    </row>
    <row r="84" ht="24.75" customHeight="true">
      <c r="A84" s="1148" t="n">
        <v>42372.95873842593</v>
      </c>
      <c r="B84" s="1149" t="n">
        <v>42372.95873842593</v>
      </c>
      <c r="C84" s="1150" t="s">
        <v>126</v>
      </c>
      <c r="D84" s="1151" t="s">
        <v>205</v>
      </c>
      <c r="E84" s="1152" t="s">
        <v>183</v>
      </c>
      <c r="F84" s="1153" t="s">
        <v>183</v>
      </c>
      <c r="G84" s="1154" t="n">
        <v>10.0</v>
      </c>
      <c r="H84" s="1155" t="s">
        <v>218</v>
      </c>
      <c r="I84" s="1156" t="s">
        <v>109</v>
      </c>
      <c r="J84" s="1157" t="n">
        <v>0.0</v>
      </c>
      <c r="K84" s="1158" t="s">
        <v>206</v>
      </c>
      <c r="L84" s="1159" t="s">
        <v>167</v>
      </c>
    </row>
    <row r="85" ht="24.75" customHeight="true">
      <c r="A85" s="1160" t="n">
        <v>42372.958506944444</v>
      </c>
      <c r="B85" s="1161" t="n">
        <v>42372.958506944444</v>
      </c>
      <c r="C85" s="1162" t="s">
        <v>126</v>
      </c>
      <c r="D85" s="1163" t="s">
        <v>205</v>
      </c>
      <c r="E85" s="1164" t="s">
        <v>183</v>
      </c>
      <c r="F85" s="1165" t="s">
        <v>183</v>
      </c>
      <c r="G85" s="1166" t="n">
        <v>2.0</v>
      </c>
      <c r="H85" s="1167" t="s">
        <v>218</v>
      </c>
      <c r="I85" s="1168" t="s">
        <v>109</v>
      </c>
      <c r="J85" s="1169" t="n">
        <v>0.0</v>
      </c>
      <c r="K85" s="1170" t="s">
        <v>206</v>
      </c>
      <c r="L85" s="1171" t="s">
        <v>167</v>
      </c>
    </row>
    <row r="86" ht="24.75" customHeight="true">
      <c r="A86" s="1172" t="n">
        <v>42372.95195601852</v>
      </c>
      <c r="B86" s="1173" t="n">
        <v>42372.95195601852</v>
      </c>
      <c r="C86" s="1174" t="s">
        <v>126</v>
      </c>
      <c r="D86" s="1175" t="s">
        <v>205</v>
      </c>
      <c r="E86" s="1176" t="s">
        <v>183</v>
      </c>
      <c r="F86" s="1177" t="s">
        <v>183</v>
      </c>
      <c r="G86" s="1178" t="n">
        <v>2010.0</v>
      </c>
      <c r="H86" s="1179" t="s">
        <v>218</v>
      </c>
      <c r="I86" s="1180" t="s">
        <v>109</v>
      </c>
      <c r="J86" s="1181" t="n">
        <v>0.0</v>
      </c>
      <c r="K86" s="1182" t="s">
        <v>206</v>
      </c>
      <c r="L86" s="1183" t="s">
        <v>167</v>
      </c>
    </row>
    <row r="87" ht="24.75" customHeight="true">
      <c r="A87" s="1184" t="n">
        <v>42372.931122685186</v>
      </c>
      <c r="B87" s="1185" t="n">
        <v>42372.931122685186</v>
      </c>
      <c r="C87" s="1186" t="s">
        <v>126</v>
      </c>
      <c r="D87" s="1187" t="s">
        <v>205</v>
      </c>
      <c r="E87" s="1188" t="s">
        <v>183</v>
      </c>
      <c r="F87" s="1189" t="s">
        <v>183</v>
      </c>
      <c r="G87" s="1190" t="n">
        <v>51261.0</v>
      </c>
      <c r="H87" s="1191" t="s">
        <v>218</v>
      </c>
      <c r="I87" s="1192" t="s">
        <v>109</v>
      </c>
      <c r="J87" s="1193" t="n">
        <v>0.0</v>
      </c>
      <c r="K87" s="1194" t="s">
        <v>206</v>
      </c>
      <c r="L87" s="1195" t="s">
        <v>167</v>
      </c>
    </row>
    <row r="88" ht="24.75" customHeight="true">
      <c r="A88" s="1196" t="n">
        <v>42372.92356481482</v>
      </c>
      <c r="B88" s="1197" t="n">
        <v>42372.92356481482</v>
      </c>
      <c r="C88" s="1198" t="s">
        <v>126</v>
      </c>
      <c r="D88" s="1199" t="s">
        <v>205</v>
      </c>
      <c r="E88" s="1200" t="s">
        <v>183</v>
      </c>
      <c r="F88" s="1201" t="s">
        <v>183</v>
      </c>
      <c r="G88" s="1202" t="n">
        <v>81921.0</v>
      </c>
      <c r="H88" s="1203" t="s">
        <v>218</v>
      </c>
      <c r="I88" s="1204" t="s">
        <v>109</v>
      </c>
      <c r="J88" s="1205" t="n">
        <v>0.0</v>
      </c>
      <c r="K88" s="1206" t="s">
        <v>206</v>
      </c>
      <c r="L88" s="1207" t="s">
        <v>167</v>
      </c>
    </row>
    <row r="89" ht="24.75" customHeight="true">
      <c r="A89" s="1208" t="n">
        <v>42372.91180555556</v>
      </c>
      <c r="B89" s="1209" t="n">
        <v>42372.91180555556</v>
      </c>
      <c r="C89" s="1210" t="s">
        <v>126</v>
      </c>
      <c r="D89" s="1211" t="s">
        <v>205</v>
      </c>
      <c r="E89" s="1212" t="s">
        <v>183</v>
      </c>
      <c r="F89" s="1213" t="s">
        <v>183</v>
      </c>
      <c r="G89" s="1214" t="n">
        <v>81921.0</v>
      </c>
      <c r="H89" s="1215" t="s">
        <v>218</v>
      </c>
      <c r="I89" s="1216" t="s">
        <v>109</v>
      </c>
      <c r="J89" s="1217" t="n">
        <v>0.0</v>
      </c>
      <c r="K89" s="1218" t="s">
        <v>206</v>
      </c>
      <c r="L89" s="1219" t="s">
        <v>167</v>
      </c>
    </row>
    <row r="90" ht="24.75" customHeight="true">
      <c r="A90" s="1220" t="n">
        <v>42372.909363425926</v>
      </c>
      <c r="B90" s="1221" t="n">
        <v>42372.909363425926</v>
      </c>
      <c r="C90" s="1222" t="s">
        <v>126</v>
      </c>
      <c r="D90" s="1223" t="s">
        <v>205</v>
      </c>
      <c r="E90" s="1224" t="s">
        <v>183</v>
      </c>
      <c r="F90" s="1225" t="s">
        <v>183</v>
      </c>
      <c r="G90" s="1226" t="n">
        <v>20481.0</v>
      </c>
      <c r="H90" s="1227" t="s">
        <v>218</v>
      </c>
      <c r="I90" s="1228" t="s">
        <v>109</v>
      </c>
      <c r="J90" s="1229" t="n">
        <v>0.0</v>
      </c>
      <c r="K90" s="1230" t="s">
        <v>206</v>
      </c>
      <c r="L90" s="1231" t="s">
        <v>167</v>
      </c>
    </row>
    <row r="91" ht="24.75" customHeight="true">
      <c r="A91" s="1232" t="n">
        <v>42372.89524305556</v>
      </c>
      <c r="B91" s="1233" t="n">
        <v>42372.89524305556</v>
      </c>
      <c r="C91" s="1234" t="s">
        <v>126</v>
      </c>
      <c r="D91" s="1235" t="s">
        <v>205</v>
      </c>
      <c r="E91" s="1236" t="s">
        <v>183</v>
      </c>
      <c r="F91" s="1237" t="s">
        <v>183</v>
      </c>
      <c r="G91" s="1238" t="n">
        <v>20481.0</v>
      </c>
      <c r="H91" s="1239" t="s">
        <v>218</v>
      </c>
      <c r="I91" s="1240" t="s">
        <v>109</v>
      </c>
      <c r="J91" s="1241" t="n">
        <v>0.0</v>
      </c>
      <c r="K91" s="1242" t="s">
        <v>206</v>
      </c>
      <c r="L91" s="1243" t="s">
        <v>167</v>
      </c>
    </row>
    <row r="92" ht="24.75" customHeight="true">
      <c r="A92" s="1244" t="n">
        <v>42372.69913194444</v>
      </c>
      <c r="B92" s="1245" t="n">
        <v>42372.69913194444</v>
      </c>
      <c r="C92" s="1246" t="s">
        <v>126</v>
      </c>
      <c r="D92" s="1247" t="s">
        <v>205</v>
      </c>
      <c r="E92" s="1248" t="s">
        <v>183</v>
      </c>
      <c r="F92" s="1249" t="s">
        <v>183</v>
      </c>
      <c r="G92" s="1250" t="n">
        <v>20482.0</v>
      </c>
      <c r="H92" s="1251" t="s">
        <v>218</v>
      </c>
      <c r="I92" s="1252" t="s">
        <v>109</v>
      </c>
      <c r="J92" s="1253" t="n">
        <v>0.0</v>
      </c>
      <c r="K92" s="1254" t="s">
        <v>206</v>
      </c>
      <c r="L92" s="1255" t="s">
        <v>167</v>
      </c>
    </row>
    <row r="93" ht="24.75" customHeight="true">
      <c r="A93" s="1256" t="n">
        <v>42372.67828703704</v>
      </c>
      <c r="B93" s="1257" t="n">
        <v>42372.67828703704</v>
      </c>
      <c r="C93" s="1258" t="s">
        <v>126</v>
      </c>
      <c r="D93" s="1259" t="s">
        <v>205</v>
      </c>
      <c r="E93" s="1260" t="s">
        <v>183</v>
      </c>
      <c r="F93" s="1261" t="s">
        <v>183</v>
      </c>
      <c r="G93" s="1262" t="n">
        <v>1388.0</v>
      </c>
      <c r="H93" s="1263" t="s">
        <v>218</v>
      </c>
      <c r="I93" s="1264" t="s">
        <v>109</v>
      </c>
      <c r="J93" s="1265" t="n">
        <v>0.0</v>
      </c>
      <c r="K93" s="1266" t="s">
        <v>206</v>
      </c>
      <c r="L93" s="1267" t="s">
        <v>167</v>
      </c>
    </row>
    <row r="94" ht="24.75" customHeight="true">
      <c r="A94" s="1268" t="n">
        <v>42372.65244212963</v>
      </c>
      <c r="B94" s="1269" t="n">
        <v>42372.65244212963</v>
      </c>
      <c r="C94" s="1270" t="s">
        <v>126</v>
      </c>
      <c r="D94" s="1271" t="s">
        <v>205</v>
      </c>
      <c r="E94" s="1272" t="s">
        <v>183</v>
      </c>
      <c r="F94" s="1273" t="s">
        <v>183</v>
      </c>
      <c r="G94" s="1274" t="n">
        <v>20482.0</v>
      </c>
      <c r="H94" s="1275" t="s">
        <v>218</v>
      </c>
      <c r="I94" s="1276" t="s">
        <v>109</v>
      </c>
      <c r="J94" s="1277" t="n">
        <v>0.0</v>
      </c>
      <c r="K94" s="1278" t="s">
        <v>206</v>
      </c>
      <c r="L94" s="1279" t="s">
        <v>167</v>
      </c>
    </row>
    <row r="95" ht="24.75" customHeight="true">
      <c r="A95" s="1280" t="n">
        <v>42372.62318287037</v>
      </c>
      <c r="B95" s="1281" t="n">
        <v>42372.62318287037</v>
      </c>
      <c r="C95" s="1282" t="s">
        <v>126</v>
      </c>
      <c r="D95" s="1283" t="s">
        <v>205</v>
      </c>
      <c r="E95" s="1284" t="s">
        <v>183</v>
      </c>
      <c r="F95" s="1285" t="s">
        <v>183</v>
      </c>
      <c r="G95" s="1286" t="n">
        <v>20481.0</v>
      </c>
      <c r="H95" s="1287" t="s">
        <v>218</v>
      </c>
      <c r="I95" s="1288" t="s">
        <v>109</v>
      </c>
      <c r="J95" s="1289" t="n">
        <v>0.0</v>
      </c>
      <c r="K95" s="1290" t="s">
        <v>206</v>
      </c>
      <c r="L95" s="1291" t="s">
        <v>167</v>
      </c>
    </row>
    <row r="96" ht="24.75" customHeight="true">
      <c r="A96" s="1292" t="n">
        <v>42372.60864583333</v>
      </c>
      <c r="B96" s="1293" t="n">
        <v>42372.60864583333</v>
      </c>
      <c r="C96" s="1294" t="s">
        <v>126</v>
      </c>
      <c r="D96" s="1295" t="s">
        <v>205</v>
      </c>
      <c r="E96" s="1296" t="s">
        <v>183</v>
      </c>
      <c r="F96" s="1297" t="s">
        <v>183</v>
      </c>
      <c r="G96" s="1298" t="n">
        <v>20481.0</v>
      </c>
      <c r="H96" s="1299" t="s">
        <v>218</v>
      </c>
      <c r="I96" s="1300" t="s">
        <v>109</v>
      </c>
      <c r="J96" s="1301" t="n">
        <v>0.0</v>
      </c>
      <c r="K96" s="1302" t="s">
        <v>206</v>
      </c>
      <c r="L96" s="1303" t="s">
        <v>167</v>
      </c>
    </row>
    <row r="97" ht="24.75" customHeight="true">
      <c r="A97" s="1304" t="n">
        <v>42372.5878125</v>
      </c>
      <c r="B97" s="1305" t="n">
        <v>42372.5878125</v>
      </c>
      <c r="C97" s="1306" t="s">
        <v>126</v>
      </c>
      <c r="D97" s="1307" t="s">
        <v>205</v>
      </c>
      <c r="E97" s="1308" t="s">
        <v>183</v>
      </c>
      <c r="F97" s="1309" t="s">
        <v>183</v>
      </c>
      <c r="G97" s="1310" t="n">
        <v>10342.0</v>
      </c>
      <c r="H97" s="1311" t="s">
        <v>218</v>
      </c>
      <c r="I97" s="1312" t="s">
        <v>109</v>
      </c>
      <c r="J97" s="1313" t="n">
        <v>0.0</v>
      </c>
      <c r="K97" s="1314" t="s">
        <v>206</v>
      </c>
      <c r="L97" s="1315" t="s">
        <v>167</v>
      </c>
    </row>
    <row r="98" ht="24.75" customHeight="true">
      <c r="A98" s="1316" t="n">
        <v>42372.57283564815</v>
      </c>
      <c r="B98" s="1317" t="n">
        <v>42372.57283564815</v>
      </c>
      <c r="C98" s="1318" t="s">
        <v>169</v>
      </c>
      <c r="D98" s="1319" t="s">
        <v>170</v>
      </c>
      <c r="E98" s="1320" t="s">
        <v>171</v>
      </c>
      <c r="F98" s="1321" t="s">
        <v>172</v>
      </c>
      <c r="G98" s="1322" t="n">
        <v>1.5046296296296297E-4</v>
      </c>
      <c r="H98" s="1323" t="s">
        <v>174</v>
      </c>
      <c r="I98" s="1324" t="s">
        <v>109</v>
      </c>
      <c r="J98" s="1325" t="n">
        <v>0.0</v>
      </c>
      <c r="K98" s="1326" t="n">
        <v>65.36</v>
      </c>
      <c r="L98" s="1327" t="s">
        <v>167</v>
      </c>
    </row>
    <row r="99" ht="24.75" customHeight="true">
      <c r="A99" s="1328" t="n">
        <v>42372.57171296296</v>
      </c>
      <c r="B99" s="1329" t="n">
        <v>42372.57171296296</v>
      </c>
      <c r="C99" s="1330" t="s">
        <v>169</v>
      </c>
      <c r="D99" s="1331" t="s">
        <v>170</v>
      </c>
      <c r="E99" s="1332" t="s">
        <v>171</v>
      </c>
      <c r="F99" s="1333" t="s">
        <v>172</v>
      </c>
      <c r="G99" s="1334" t="n">
        <v>2.314814814814815E-4</v>
      </c>
      <c r="H99" s="1335" t="s">
        <v>174</v>
      </c>
      <c r="I99" s="1336" t="s">
        <v>109</v>
      </c>
      <c r="J99" s="1337" t="n">
        <v>0.0</v>
      </c>
      <c r="K99" s="1338" t="n">
        <v>65.36</v>
      </c>
      <c r="L99" s="1339" t="s">
        <v>167</v>
      </c>
    </row>
    <row r="100" ht="24.75" customHeight="true">
      <c r="A100" s="1340" t="n">
        <v>42372.57042824074</v>
      </c>
      <c r="B100" s="1341" t="n">
        <v>42372.57042824074</v>
      </c>
      <c r="C100" s="1342" t="s">
        <v>126</v>
      </c>
      <c r="D100" s="1343" t="s">
        <v>205</v>
      </c>
      <c r="E100" s="1344" t="s">
        <v>183</v>
      </c>
      <c r="F100" s="1345" t="s">
        <v>183</v>
      </c>
      <c r="G100" s="1346" t="n">
        <v>81922.0</v>
      </c>
      <c r="H100" s="1347" t="s">
        <v>218</v>
      </c>
      <c r="I100" s="1348" t="s">
        <v>109</v>
      </c>
      <c r="J100" s="1349" t="n">
        <v>0.0</v>
      </c>
      <c r="K100" s="1350" t="s">
        <v>206</v>
      </c>
      <c r="L100" s="1351" t="s">
        <v>167</v>
      </c>
    </row>
    <row r="101" ht="24.75" customHeight="true">
      <c r="A101" s="1352" t="n">
        <v>42372.56524305556</v>
      </c>
      <c r="B101" s="1353" t="n">
        <v>42372.56524305556</v>
      </c>
      <c r="C101" s="1354" t="s">
        <v>126</v>
      </c>
      <c r="D101" s="1355" t="s">
        <v>205</v>
      </c>
      <c r="E101" s="1356" t="s">
        <v>183</v>
      </c>
      <c r="F101" s="1357" t="s">
        <v>183</v>
      </c>
      <c r="G101" s="1358" t="n">
        <v>20481.0</v>
      </c>
      <c r="H101" s="1359" t="s">
        <v>218</v>
      </c>
      <c r="I101" s="1360" t="s">
        <v>109</v>
      </c>
      <c r="J101" s="1361" t="n">
        <v>0.0</v>
      </c>
      <c r="K101" s="1362" t="s">
        <v>206</v>
      </c>
      <c r="L101" s="1363" t="s">
        <v>167</v>
      </c>
    </row>
    <row r="102" ht="24.75" customHeight="true">
      <c r="A102" s="1364" t="n">
        <v>42372.563576388886</v>
      </c>
      <c r="B102" s="1365" t="n">
        <v>42372.563576388886</v>
      </c>
      <c r="C102" s="1366" t="s">
        <v>169</v>
      </c>
      <c r="D102" s="1367" t="s">
        <v>186</v>
      </c>
      <c r="E102" s="1368" t="s">
        <v>171</v>
      </c>
      <c r="F102" s="1369" t="s">
        <v>172</v>
      </c>
      <c r="G102" s="1370" t="n">
        <v>0.0013078703703703703</v>
      </c>
      <c r="H102" s="1371" t="s">
        <v>174</v>
      </c>
      <c r="I102" s="1372" t="s">
        <v>109</v>
      </c>
      <c r="J102" s="1373" t="n">
        <v>0.0</v>
      </c>
      <c r="K102" s="1374" t="n">
        <v>65.36</v>
      </c>
      <c r="L102" s="1375" t="s">
        <v>167</v>
      </c>
    </row>
    <row r="103" ht="24.75" customHeight="true">
      <c r="A103" s="1376" t="n">
        <v>42372.55787037037</v>
      </c>
      <c r="B103" s="1377" t="n">
        <v>42372.55787037037</v>
      </c>
      <c r="C103" s="1378" t="s">
        <v>126</v>
      </c>
      <c r="D103" s="1379" t="s">
        <v>205</v>
      </c>
      <c r="E103" s="1380" t="s">
        <v>183</v>
      </c>
      <c r="F103" s="1381" t="s">
        <v>183</v>
      </c>
      <c r="G103" s="1382" t="n">
        <v>1955.0</v>
      </c>
      <c r="H103" s="1383" t="s">
        <v>218</v>
      </c>
      <c r="I103" s="1384" t="s">
        <v>109</v>
      </c>
      <c r="J103" s="1385" t="n">
        <v>0.0</v>
      </c>
      <c r="K103" s="1386" t="s">
        <v>206</v>
      </c>
      <c r="L103" s="1387" t="s">
        <v>167</v>
      </c>
    </row>
    <row r="104" ht="24.75" customHeight="true">
      <c r="A104" s="1388" t="n">
        <v>42372.55583333333</v>
      </c>
      <c r="B104" s="1389" t="n">
        <v>42372.55583333333</v>
      </c>
      <c r="C104" s="1390" t="s">
        <v>209</v>
      </c>
      <c r="D104" s="1391" t="s">
        <v>170</v>
      </c>
      <c r="E104" s="1392" t="s">
        <v>171</v>
      </c>
      <c r="F104" s="1393" t="s">
        <v>172</v>
      </c>
      <c r="G104" s="1394" t="n">
        <v>1.388888888888889E-4</v>
      </c>
      <c r="H104" s="1395" t="s">
        <v>174</v>
      </c>
      <c r="I104" s="1396" t="s">
        <v>109</v>
      </c>
      <c r="J104" s="1397" t="n">
        <v>0.0</v>
      </c>
      <c r="K104" s="1398" t="n">
        <v>65.36</v>
      </c>
      <c r="L104" s="1399" t="s">
        <v>167</v>
      </c>
    </row>
    <row r="105" ht="24.75" customHeight="true">
      <c r="A105" s="1400" t="n">
        <v>42372.55569444445</v>
      </c>
      <c r="B105" s="1401" t="n">
        <v>42372.55569444445</v>
      </c>
      <c r="C105" s="1402" t="s">
        <v>126</v>
      </c>
      <c r="D105" s="1403" t="s">
        <v>205</v>
      </c>
      <c r="E105" s="1404" t="s">
        <v>183</v>
      </c>
      <c r="F105" s="1405" t="s">
        <v>183</v>
      </c>
      <c r="G105" s="1406" t="n">
        <v>20481.0</v>
      </c>
      <c r="H105" s="1407" t="s">
        <v>218</v>
      </c>
      <c r="I105" s="1408" t="s">
        <v>109</v>
      </c>
      <c r="J105" s="1409" t="n">
        <v>0.0</v>
      </c>
      <c r="K105" s="1410" t="s">
        <v>206</v>
      </c>
      <c r="L105" s="1411" t="s">
        <v>167</v>
      </c>
    </row>
    <row r="106" ht="24.75" customHeight="true">
      <c r="A106" s="1412" t="n">
        <v>42372.555393518516</v>
      </c>
      <c r="B106" s="1413" t="n">
        <v>42372.555393518516</v>
      </c>
      <c r="C106" s="1414" t="s">
        <v>209</v>
      </c>
      <c r="D106" s="1415" t="s">
        <v>170</v>
      </c>
      <c r="E106" s="1416" t="s">
        <v>171</v>
      </c>
      <c r="F106" s="1417" t="s">
        <v>172</v>
      </c>
      <c r="G106" s="1418" t="n">
        <v>2.777777777777778E-4</v>
      </c>
      <c r="H106" s="1419" t="s">
        <v>174</v>
      </c>
      <c r="I106" s="1420" t="s">
        <v>109</v>
      </c>
      <c r="J106" s="1421" t="n">
        <v>0.0</v>
      </c>
      <c r="K106" s="1422" t="n">
        <v>65.36</v>
      </c>
      <c r="L106" s="1423" t="s">
        <v>167</v>
      </c>
    </row>
    <row r="107" ht="24.75" customHeight="true">
      <c r="A107" s="1424" t="n">
        <v>42372.53811342592</v>
      </c>
      <c r="B107" s="1425" t="n">
        <v>42372.53811342592</v>
      </c>
      <c r="C107" s="1426" t="s">
        <v>126</v>
      </c>
      <c r="D107" s="1427" t="s">
        <v>205</v>
      </c>
      <c r="E107" s="1428" t="s">
        <v>183</v>
      </c>
      <c r="F107" s="1429" t="s">
        <v>183</v>
      </c>
      <c r="G107" s="1430" t="n">
        <v>5660.0</v>
      </c>
      <c r="H107" s="1431" t="s">
        <v>218</v>
      </c>
      <c r="I107" s="1432" t="s">
        <v>109</v>
      </c>
      <c r="J107" s="1433" t="n">
        <v>0.0</v>
      </c>
      <c r="K107" s="1434" t="s">
        <v>206</v>
      </c>
      <c r="L107" s="1435" t="s">
        <v>167</v>
      </c>
    </row>
    <row r="108" ht="24.75" customHeight="true">
      <c r="A108" s="1436" t="n">
        <v>42372.51657407408</v>
      </c>
      <c r="B108" s="1437" t="n">
        <v>42372.51657407408</v>
      </c>
      <c r="C108" s="1438" t="s">
        <v>169</v>
      </c>
      <c r="D108" s="1439" t="s">
        <v>170</v>
      </c>
      <c r="E108" s="1440" t="s">
        <v>171</v>
      </c>
      <c r="F108" s="1441" t="s">
        <v>172</v>
      </c>
      <c r="G108" s="1442" t="n">
        <v>9.722222222222222E-4</v>
      </c>
      <c r="H108" s="1443" t="s">
        <v>174</v>
      </c>
      <c r="I108" s="1444" t="s">
        <v>109</v>
      </c>
      <c r="J108" s="1445" t="n">
        <v>0.0</v>
      </c>
      <c r="K108" s="1446" t="n">
        <v>65.36</v>
      </c>
      <c r="L108" s="1447" t="s">
        <v>167</v>
      </c>
    </row>
    <row r="109" ht="24.75" customHeight="true">
      <c r="A109" s="1448" t="n">
        <v>42372.42178240741</v>
      </c>
      <c r="B109" s="1449" t="n">
        <v>42372.42178240741</v>
      </c>
      <c r="C109" s="1450" t="s">
        <v>169</v>
      </c>
      <c r="D109" s="1451" t="s">
        <v>186</v>
      </c>
      <c r="E109" s="1452" t="s">
        <v>171</v>
      </c>
      <c r="F109" s="1453" t="s">
        <v>172</v>
      </c>
      <c r="G109" s="1454" t="n">
        <v>7.407407407407407E-4</v>
      </c>
      <c r="H109" s="1455" t="s">
        <v>174</v>
      </c>
      <c r="I109" s="1456" t="s">
        <v>109</v>
      </c>
      <c r="J109" s="1457" t="n">
        <v>0.0</v>
      </c>
      <c r="K109" s="1458" t="n">
        <v>65.36</v>
      </c>
      <c r="L109" s="1459" t="s">
        <v>167</v>
      </c>
    </row>
    <row r="110" ht="24.75" customHeight="true">
      <c r="A110" s="1460" t="n">
        <v>42372.11126157407</v>
      </c>
      <c r="B110" s="1461" t="n">
        <v>42372.11126157407</v>
      </c>
      <c r="C110" s="1462" t="s">
        <v>231</v>
      </c>
      <c r="D110" s="1463" t="s">
        <v>205</v>
      </c>
      <c r="E110" s="1464" t="s">
        <v>183</v>
      </c>
      <c r="F110" s="1465" t="s">
        <v>183</v>
      </c>
      <c r="G110" s="1466" t="s">
        <v>206</v>
      </c>
      <c r="H110" s="1467" t="s">
        <v>183</v>
      </c>
      <c r="I110" s="1468" t="s">
        <v>109</v>
      </c>
      <c r="J110" s="1469" t="n">
        <v>-5.0</v>
      </c>
      <c r="K110" s="1470" t="n">
        <v>65.36</v>
      </c>
      <c r="L110" s="1471" t="s">
        <v>167</v>
      </c>
    </row>
    <row r="111" ht="24.75" customHeight="true">
      <c r="A111" s="1472" t="n">
        <v>42372.05321759259</v>
      </c>
      <c r="B111" s="1473" t="n">
        <v>42372.05321759259</v>
      </c>
      <c r="C111" s="1474" t="s">
        <v>126</v>
      </c>
      <c r="D111" s="1475" t="s">
        <v>205</v>
      </c>
      <c r="E111" s="1476" t="s">
        <v>183</v>
      </c>
      <c r="F111" s="1477" t="s">
        <v>183</v>
      </c>
      <c r="G111" s="1478" t="n">
        <v>980.0</v>
      </c>
      <c r="H111" s="1479" t="s">
        <v>218</v>
      </c>
      <c r="I111" s="1480" t="s">
        <v>109</v>
      </c>
      <c r="J111" s="1481" t="n">
        <v>0.0</v>
      </c>
      <c r="K111" s="1482" t="s">
        <v>206</v>
      </c>
      <c r="L111" s="1483" t="s">
        <v>167</v>
      </c>
    </row>
    <row r="112" ht="24.75" customHeight="true">
      <c r="A112" s="1484" t="n">
        <v>42371.463958333334</v>
      </c>
      <c r="B112" s="1485" t="n">
        <v>42371.463958333334</v>
      </c>
      <c r="C112" s="1486" t="s">
        <v>169</v>
      </c>
      <c r="D112" s="1487" t="s">
        <v>186</v>
      </c>
      <c r="E112" s="1488" t="s">
        <v>171</v>
      </c>
      <c r="F112" s="1489" t="s">
        <v>172</v>
      </c>
      <c r="G112" s="1490" t="n">
        <v>0.0013425925925925925</v>
      </c>
      <c r="H112" s="1491" t="s">
        <v>174</v>
      </c>
      <c r="I112" s="1492" t="s">
        <v>109</v>
      </c>
      <c r="J112" s="1493" t="n">
        <v>0.0</v>
      </c>
      <c r="K112" s="1494" t="n">
        <v>70.36</v>
      </c>
      <c r="L112" s="1495" t="s">
        <v>167</v>
      </c>
    </row>
    <row r="113" ht="24.75" customHeight="true">
      <c r="A113" s="1496" t="n">
        <v>42371.44546296296</v>
      </c>
      <c r="B113" s="1497" t="n">
        <v>42371.44546296296</v>
      </c>
      <c r="C113" s="1498" t="s">
        <v>169</v>
      </c>
      <c r="D113" s="1499" t="s">
        <v>170</v>
      </c>
      <c r="E113" s="1500" t="s">
        <v>171</v>
      </c>
      <c r="F113" s="1501" t="s">
        <v>172</v>
      </c>
      <c r="G113" s="1502" t="n">
        <v>0.0012152777777777778</v>
      </c>
      <c r="H113" s="1503" t="s">
        <v>174</v>
      </c>
      <c r="I113" s="1504" t="s">
        <v>109</v>
      </c>
      <c r="J113" s="1505" t="n">
        <v>0.0</v>
      </c>
      <c r="K113" s="1506" t="n">
        <v>70.36</v>
      </c>
      <c r="L113" s="1507" t="s">
        <v>167</v>
      </c>
    </row>
    <row r="114" ht="24.75" customHeight="true">
      <c r="A114" s="1508" t="n">
        <v>42371.44020833333</v>
      </c>
      <c r="B114" s="1509" t="n">
        <v>42371.44020833333</v>
      </c>
      <c r="C114" s="1510" t="s">
        <v>231</v>
      </c>
      <c r="D114" s="1511" t="s">
        <v>205</v>
      </c>
      <c r="E114" s="1512" t="s">
        <v>183</v>
      </c>
      <c r="F114" s="1513" t="s">
        <v>183</v>
      </c>
      <c r="G114" s="1514" t="s">
        <v>206</v>
      </c>
      <c r="H114" s="1515" t="s">
        <v>183</v>
      </c>
      <c r="I114" s="1516" t="s">
        <v>109</v>
      </c>
      <c r="J114" s="1517" t="n">
        <v>-5.0</v>
      </c>
      <c r="K114" s="1518" t="n">
        <v>70.36</v>
      </c>
      <c r="L114" s="1519" t="s">
        <v>167</v>
      </c>
    </row>
    <row r="115" ht="24.75" customHeight="true">
      <c r="A115" s="1520" t="n">
        <v>42371.43959490741</v>
      </c>
      <c r="B115" s="1521" t="n">
        <v>42371.43959490741</v>
      </c>
      <c r="C115" s="1522" t="s">
        <v>257</v>
      </c>
      <c r="D115" s="1523" t="s">
        <v>205</v>
      </c>
      <c r="E115" s="1524" t="s">
        <v>183</v>
      </c>
      <c r="F115" s="1525" t="s">
        <v>183</v>
      </c>
      <c r="G115" s="1526" t="s">
        <v>206</v>
      </c>
      <c r="H115" s="1527" t="s">
        <v>183</v>
      </c>
      <c r="I115" s="1528" t="s">
        <v>109</v>
      </c>
      <c r="J115" s="1529" t="n">
        <v>80.0</v>
      </c>
      <c r="K115" s="1530" t="n">
        <v>75.36</v>
      </c>
      <c r="L115" s="1531" t="s">
        <v>167</v>
      </c>
    </row>
    <row r="116" ht="24.75" customHeight="true">
      <c r="A116" s="1532" t="n">
        <v>42370.92935185185</v>
      </c>
      <c r="B116" s="1533" t="n">
        <v>42370.92935185185</v>
      </c>
      <c r="C116" s="1534" t="s">
        <v>169</v>
      </c>
      <c r="D116" s="1535" t="s">
        <v>170</v>
      </c>
      <c r="E116" s="1536" t="s">
        <v>171</v>
      </c>
      <c r="F116" s="1537" t="s">
        <v>172</v>
      </c>
      <c r="G116" s="1538" t="n">
        <v>2.777777777777778E-4</v>
      </c>
      <c r="H116" s="1539" t="s">
        <v>174</v>
      </c>
      <c r="I116" s="1540" t="s">
        <v>109</v>
      </c>
      <c r="J116" s="1541" t="n">
        <v>0.0</v>
      </c>
      <c r="K116" s="1542" t="n">
        <v>-4.64</v>
      </c>
      <c r="L116" s="1543" t="s">
        <v>167</v>
      </c>
    </row>
    <row r="117" ht="24.75" customHeight="true">
      <c r="A117" s="1544" t="n">
        <v>42370.227488425924</v>
      </c>
      <c r="B117" s="1545" t="n">
        <v>42370.227488425924</v>
      </c>
      <c r="C117" s="1546" t="s">
        <v>231</v>
      </c>
      <c r="D117" s="1547" t="s">
        <v>205</v>
      </c>
      <c r="E117" s="1548" t="s">
        <v>183</v>
      </c>
      <c r="F117" s="1549" t="s">
        <v>183</v>
      </c>
      <c r="G117" s="1550" t="s">
        <v>206</v>
      </c>
      <c r="H117" s="1551" t="s">
        <v>183</v>
      </c>
      <c r="I117" s="1552" t="s">
        <v>109</v>
      </c>
      <c r="J117" s="1553" t="n">
        <v>-5.0</v>
      </c>
      <c r="K117" s="1554" t="n">
        <v>-4.64</v>
      </c>
      <c r="L117" s="1555" t="s">
        <v>167</v>
      </c>
    </row>
    <row r="118" ht="24.75" customHeight="true">
      <c r="A118" s="1556" t="n">
        <v>42369.8194212963</v>
      </c>
      <c r="B118" s="1557" t="n">
        <v>42369.8194212963</v>
      </c>
      <c r="C118" s="1558" t="s">
        <v>126</v>
      </c>
      <c r="D118" s="1559" t="s">
        <v>205</v>
      </c>
      <c r="E118" s="1560" t="s">
        <v>183</v>
      </c>
      <c r="F118" s="1561" t="s">
        <v>183</v>
      </c>
      <c r="G118" s="1562" t="n">
        <v>240.0</v>
      </c>
      <c r="H118" s="1563" t="s">
        <v>218</v>
      </c>
      <c r="I118" s="1564" t="s">
        <v>109</v>
      </c>
      <c r="J118" s="1565" t="n">
        <v>0.0</v>
      </c>
      <c r="K118" s="1566" t="s">
        <v>206</v>
      </c>
      <c r="L118" s="1567" t="s">
        <v>167</v>
      </c>
    </row>
    <row r="119" ht="24.75" customHeight="true">
      <c r="A119" s="1568" t="n">
        <v>42369.81061342593</v>
      </c>
      <c r="B119" s="1569" t="n">
        <v>42369.81061342593</v>
      </c>
      <c r="C119" s="1570" t="s">
        <v>209</v>
      </c>
      <c r="D119" s="1571" t="s">
        <v>179</v>
      </c>
      <c r="E119" s="1572" t="s">
        <v>171</v>
      </c>
      <c r="F119" s="1573" t="s">
        <v>172</v>
      </c>
      <c r="G119" s="1574" t="n">
        <v>0.0030208333333333333</v>
      </c>
      <c r="H119" s="1575" t="s">
        <v>174</v>
      </c>
      <c r="I119" s="1576" t="s">
        <v>109</v>
      </c>
      <c r="J119" s="1577" t="n">
        <v>0.0</v>
      </c>
      <c r="K119" s="1578" t="n">
        <v>0.36</v>
      </c>
      <c r="L119" s="1579" t="s">
        <v>167</v>
      </c>
    </row>
    <row r="120" ht="24.75" customHeight="true">
      <c r="A120" s="1580" t="n">
        <v>42369.810208333336</v>
      </c>
      <c r="B120" s="1581" t="n">
        <v>42369.810208333336</v>
      </c>
      <c r="C120" s="1582" t="s">
        <v>126</v>
      </c>
      <c r="D120" s="1583" t="s">
        <v>205</v>
      </c>
      <c r="E120" s="1584" t="s">
        <v>183</v>
      </c>
      <c r="F120" s="1585" t="s">
        <v>183</v>
      </c>
      <c r="G120" s="1586" t="n">
        <v>457.0</v>
      </c>
      <c r="H120" s="1587" t="s">
        <v>218</v>
      </c>
      <c r="I120" s="1588" t="s">
        <v>109</v>
      </c>
      <c r="J120" s="1589" t="n">
        <v>0.0</v>
      </c>
      <c r="K120" s="1590" t="s">
        <v>206</v>
      </c>
      <c r="L120" s="1591" t="s">
        <v>167</v>
      </c>
    </row>
    <row r="121" ht="24.75" customHeight="true">
      <c r="A121" s="1592" t="n">
        <v>42369.77096064815</v>
      </c>
      <c r="B121" s="1593" t="n">
        <v>42369.77096064815</v>
      </c>
      <c r="C121" s="1594" t="s">
        <v>169</v>
      </c>
      <c r="D121" s="1595" t="s">
        <v>170</v>
      </c>
      <c r="E121" s="1596" t="s">
        <v>171</v>
      </c>
      <c r="F121" s="1597" t="s">
        <v>172</v>
      </c>
      <c r="G121" s="1598" t="n">
        <v>1.6203703703703703E-4</v>
      </c>
      <c r="H121" s="1599" t="s">
        <v>174</v>
      </c>
      <c r="I121" s="1600" t="s">
        <v>109</v>
      </c>
      <c r="J121" s="1601" t="n">
        <v>0.0</v>
      </c>
      <c r="K121" s="1602" t="n">
        <v>0.36</v>
      </c>
      <c r="L121" s="1603" t="s">
        <v>167</v>
      </c>
    </row>
    <row r="122" ht="24.75" customHeight="true">
      <c r="A122" s="1604" t="n">
        <v>42369.75987268519</v>
      </c>
      <c r="B122" s="1605" t="n">
        <v>42369.75987268519</v>
      </c>
      <c r="C122" s="1606" t="s">
        <v>169</v>
      </c>
      <c r="D122" s="1607" t="s">
        <v>261</v>
      </c>
      <c r="E122" s="1608" t="s">
        <v>262</v>
      </c>
      <c r="F122" s="1609" t="s">
        <v>172</v>
      </c>
      <c r="G122" s="1610" t="n">
        <v>2.8935185185185184E-4</v>
      </c>
      <c r="H122" s="1611" t="s">
        <v>174</v>
      </c>
      <c r="I122" s="1612" t="s">
        <v>109</v>
      </c>
      <c r="J122" s="1613" t="n">
        <v>0.0</v>
      </c>
      <c r="K122" s="1614" t="n">
        <v>0.36</v>
      </c>
      <c r="L122" s="1615" t="s">
        <v>167</v>
      </c>
    </row>
    <row r="123" ht="24.75" customHeight="true">
      <c r="A123" s="1616" t="n">
        <v>42369.74486111111</v>
      </c>
      <c r="B123" s="1617" t="n">
        <v>42369.74486111111</v>
      </c>
      <c r="C123" s="1618" t="s">
        <v>209</v>
      </c>
      <c r="D123" s="1619" t="s">
        <v>261</v>
      </c>
      <c r="E123" s="1620" t="s">
        <v>262</v>
      </c>
      <c r="F123" s="1621" t="s">
        <v>172</v>
      </c>
      <c r="G123" s="1622" t="n">
        <v>2.777777777777778E-4</v>
      </c>
      <c r="H123" s="1623" t="s">
        <v>174</v>
      </c>
      <c r="I123" s="1624" t="s">
        <v>109</v>
      </c>
      <c r="J123" s="1625" t="n">
        <v>-1.0</v>
      </c>
      <c r="K123" s="1626" t="n">
        <v>0.36</v>
      </c>
      <c r="L123" s="1627" t="s">
        <v>167</v>
      </c>
    </row>
    <row r="124" ht="24.75" customHeight="true">
      <c r="A124" s="1628" t="n">
        <v>42369.74451388889</v>
      </c>
      <c r="B124" s="1629" t="n">
        <v>42369.74451388889</v>
      </c>
      <c r="C124" s="1630" t="s">
        <v>126</v>
      </c>
      <c r="D124" s="1631" t="s">
        <v>205</v>
      </c>
      <c r="E124" s="1632" t="s">
        <v>183</v>
      </c>
      <c r="F124" s="1633" t="s">
        <v>183</v>
      </c>
      <c r="G124" s="1634" t="n">
        <v>39.0</v>
      </c>
      <c r="H124" s="1635" t="s">
        <v>218</v>
      </c>
      <c r="I124" s="1636" t="s">
        <v>109</v>
      </c>
      <c r="J124" s="1637" t="n">
        <v>0.0</v>
      </c>
      <c r="K124" s="1638" t="s">
        <v>206</v>
      </c>
      <c r="L124" s="1639" t="s">
        <v>167</v>
      </c>
    </row>
    <row r="125" ht="24.75" customHeight="true">
      <c r="A125" s="1640" t="n">
        <v>42369.73707175926</v>
      </c>
      <c r="B125" s="1641" t="n">
        <v>42369.73707175926</v>
      </c>
      <c r="C125" s="1642" t="s">
        <v>126</v>
      </c>
      <c r="D125" s="1643" t="s">
        <v>205</v>
      </c>
      <c r="E125" s="1644" t="s">
        <v>183</v>
      </c>
      <c r="F125" s="1645" t="s">
        <v>183</v>
      </c>
      <c r="G125" s="1646" t="n">
        <v>444.0</v>
      </c>
      <c r="H125" s="1647" t="s">
        <v>218</v>
      </c>
      <c r="I125" s="1648" t="s">
        <v>109</v>
      </c>
      <c r="J125" s="1649" t="n">
        <v>0.0</v>
      </c>
      <c r="K125" s="1650" t="s">
        <v>206</v>
      </c>
      <c r="L125" s="1651" t="s">
        <v>167</v>
      </c>
    </row>
    <row r="126" ht="24.75" customHeight="true">
      <c r="A126" s="1652" t="n">
        <v>42369.664988425924</v>
      </c>
      <c r="B126" s="1653" t="n">
        <v>42369.664988425924</v>
      </c>
      <c r="C126" s="1654" t="s">
        <v>169</v>
      </c>
      <c r="D126" s="1655" t="s">
        <v>261</v>
      </c>
      <c r="E126" s="1656" t="s">
        <v>262</v>
      </c>
      <c r="F126" s="1657" t="s">
        <v>172</v>
      </c>
      <c r="G126" s="1658" t="n">
        <v>3.7037037037037035E-4</v>
      </c>
      <c r="H126" s="1659" t="s">
        <v>174</v>
      </c>
      <c r="I126" s="1660" t="s">
        <v>109</v>
      </c>
      <c r="J126" s="1661" t="n">
        <v>0.0</v>
      </c>
      <c r="K126" s="1662" t="n">
        <v>1.36</v>
      </c>
      <c r="L126" s="1663" t="s">
        <v>167</v>
      </c>
    </row>
    <row r="127" ht="24.75" customHeight="true">
      <c r="A127" s="1664" t="n">
        <v>42369.60822916667</v>
      </c>
      <c r="B127" s="1665" t="n">
        <v>42369.60822916667</v>
      </c>
      <c r="C127" s="1666" t="s">
        <v>209</v>
      </c>
      <c r="D127" s="1667" t="s">
        <v>170</v>
      </c>
      <c r="E127" s="1668" t="s">
        <v>171</v>
      </c>
      <c r="F127" s="1669" t="s">
        <v>172</v>
      </c>
      <c r="G127" s="1670" t="n">
        <v>3.4722222222222224E-4</v>
      </c>
      <c r="H127" s="1671" t="s">
        <v>174</v>
      </c>
      <c r="I127" s="1672" t="s">
        <v>109</v>
      </c>
      <c r="J127" s="1673" t="n">
        <v>0.0</v>
      </c>
      <c r="K127" s="1674" t="n">
        <v>1.36</v>
      </c>
      <c r="L127" s="1675" t="s">
        <v>167</v>
      </c>
    </row>
    <row r="128" ht="24.75" customHeight="true">
      <c r="A128" s="1676" t="n">
        <v>42369.59997685185</v>
      </c>
      <c r="B128" s="1677" t="n">
        <v>42369.59997685185</v>
      </c>
      <c r="C128" s="1678" t="s">
        <v>169</v>
      </c>
      <c r="D128" s="1679" t="s">
        <v>170</v>
      </c>
      <c r="E128" s="1680" t="s">
        <v>171</v>
      </c>
      <c r="F128" s="1681" t="s">
        <v>172</v>
      </c>
      <c r="G128" s="1682" t="n">
        <v>7.291666666666667E-4</v>
      </c>
      <c r="H128" s="1683" t="s">
        <v>174</v>
      </c>
      <c r="I128" s="1684" t="s">
        <v>109</v>
      </c>
      <c r="J128" s="1685" t="n">
        <v>0.0</v>
      </c>
      <c r="K128" s="1686" t="n">
        <v>1.36</v>
      </c>
      <c r="L128" s="1687" t="s">
        <v>167</v>
      </c>
    </row>
    <row r="129" ht="24.75" customHeight="true">
      <c r="A129" s="1688" t="n">
        <v>42369.58048611111</v>
      </c>
      <c r="B129" s="1689" t="n">
        <v>42369.58048611111</v>
      </c>
      <c r="C129" s="1690" t="s">
        <v>209</v>
      </c>
      <c r="D129" s="1691" t="s">
        <v>170</v>
      </c>
      <c r="E129" s="1692" t="s">
        <v>171</v>
      </c>
      <c r="F129" s="1693" t="s">
        <v>172</v>
      </c>
      <c r="G129" s="1694" t="n">
        <v>9.837962962962962E-4</v>
      </c>
      <c r="H129" s="1695" t="s">
        <v>174</v>
      </c>
      <c r="I129" s="1696" t="s">
        <v>109</v>
      </c>
      <c r="J129" s="1697" t="n">
        <v>0.0</v>
      </c>
      <c r="K129" s="1698" t="n">
        <v>1.36</v>
      </c>
      <c r="L129" s="1699" t="s">
        <v>167</v>
      </c>
    </row>
    <row r="130" ht="24.75" customHeight="true">
      <c r="A130" s="1700" t="n">
        <v>42369.580104166664</v>
      </c>
      <c r="B130" s="1701" t="n">
        <v>42369.580104166664</v>
      </c>
      <c r="C130" s="1702" t="s">
        <v>209</v>
      </c>
      <c r="D130" s="1703" t="s">
        <v>170</v>
      </c>
      <c r="E130" s="1704" t="s">
        <v>171</v>
      </c>
      <c r="F130" s="1705" t="s">
        <v>172</v>
      </c>
      <c r="G130" s="1706" t="n">
        <v>1.1574074074074073E-5</v>
      </c>
      <c r="H130" s="1707" t="s">
        <v>174</v>
      </c>
      <c r="I130" s="1708" t="s">
        <v>109</v>
      </c>
      <c r="J130" s="1709" t="n">
        <v>0.0</v>
      </c>
      <c r="K130" s="1710" t="n">
        <v>1.36</v>
      </c>
      <c r="L130" s="1711" t="s">
        <v>167</v>
      </c>
    </row>
    <row r="131" ht="24.75" customHeight="true">
      <c r="A131" s="1712" t="n">
        <v>42369.579050925924</v>
      </c>
      <c r="B131" s="1713" t="n">
        <v>42369.579050925924</v>
      </c>
      <c r="C131" s="1714" t="s">
        <v>209</v>
      </c>
      <c r="D131" s="1715" t="s">
        <v>170</v>
      </c>
      <c r="E131" s="1716" t="s">
        <v>171</v>
      </c>
      <c r="F131" s="1717" t="s">
        <v>172</v>
      </c>
      <c r="G131" s="1718" t="n">
        <v>3.125E-4</v>
      </c>
      <c r="H131" s="1719" t="s">
        <v>174</v>
      </c>
      <c r="I131" s="1720" t="s">
        <v>109</v>
      </c>
      <c r="J131" s="1721" t="n">
        <v>0.0</v>
      </c>
      <c r="K131" s="1722" t="n">
        <v>1.36</v>
      </c>
      <c r="L131" s="1723" t="s">
        <v>167</v>
      </c>
    </row>
    <row r="132" ht="24.75" customHeight="true">
      <c r="A132" s="1724" t="n">
        <v>42369.57498842593</v>
      </c>
      <c r="B132" s="1725" t="n">
        <v>42369.57498842593</v>
      </c>
      <c r="C132" s="1726" t="s">
        <v>209</v>
      </c>
      <c r="D132" s="1727" t="s">
        <v>170</v>
      </c>
      <c r="E132" s="1728" t="s">
        <v>171</v>
      </c>
      <c r="F132" s="1729" t="s">
        <v>172</v>
      </c>
      <c r="G132" s="1730" t="n">
        <v>2.546296296296296E-4</v>
      </c>
      <c r="H132" s="1731" t="s">
        <v>174</v>
      </c>
      <c r="I132" s="1732" t="s">
        <v>109</v>
      </c>
      <c r="J132" s="1733" t="n">
        <v>0.0</v>
      </c>
      <c r="K132" s="1734" t="n">
        <v>1.36</v>
      </c>
      <c r="L132" s="1735" t="s">
        <v>167</v>
      </c>
    </row>
    <row r="133" ht="24.75" customHeight="true">
      <c r="A133" s="1736" t="n">
        <v>42369.57440972222</v>
      </c>
      <c r="B133" s="1737" t="n">
        <v>42369.57440972222</v>
      </c>
      <c r="C133" s="1738" t="s">
        <v>209</v>
      </c>
      <c r="D133" s="1739" t="s">
        <v>170</v>
      </c>
      <c r="E133" s="1740" t="s">
        <v>171</v>
      </c>
      <c r="F133" s="1741" t="s">
        <v>172</v>
      </c>
      <c r="G133" s="1742" t="n">
        <v>3.4722222222222224E-4</v>
      </c>
      <c r="H133" s="1743" t="s">
        <v>174</v>
      </c>
      <c r="I133" s="1744" t="s">
        <v>109</v>
      </c>
      <c r="J133" s="1745" t="n">
        <v>0.0</v>
      </c>
      <c r="K133" s="1746" t="n">
        <v>1.36</v>
      </c>
      <c r="L133" s="1747" t="s">
        <v>167</v>
      </c>
    </row>
    <row r="134" ht="24.75" customHeight="true">
      <c r="A134" s="1748" t="n">
        <v>42369.54537037037</v>
      </c>
      <c r="B134" s="1749" t="n">
        <v>42369.54537037037</v>
      </c>
      <c r="C134" s="1750" t="s">
        <v>169</v>
      </c>
      <c r="D134" s="1751" t="s">
        <v>170</v>
      </c>
      <c r="E134" s="1752" t="s">
        <v>171</v>
      </c>
      <c r="F134" s="1753" t="s">
        <v>172</v>
      </c>
      <c r="G134" s="1754" t="n">
        <v>8.796296296296296E-4</v>
      </c>
      <c r="H134" s="1755" t="s">
        <v>174</v>
      </c>
      <c r="I134" s="1756" t="s">
        <v>109</v>
      </c>
      <c r="J134" s="1757" t="n">
        <v>0.0</v>
      </c>
      <c r="K134" s="1758" t="n">
        <v>1.36</v>
      </c>
      <c r="L134" s="1759" t="s">
        <v>167</v>
      </c>
    </row>
    <row r="135" ht="24.75" customHeight="true">
      <c r="A135" s="1760" t="n">
        <v>42369.539606481485</v>
      </c>
      <c r="B135" s="1761" t="n">
        <v>42369.539606481485</v>
      </c>
      <c r="C135" s="1762" t="s">
        <v>209</v>
      </c>
      <c r="D135" s="1763" t="s">
        <v>186</v>
      </c>
      <c r="E135" s="1764" t="s">
        <v>171</v>
      </c>
      <c r="F135" s="1765" t="s">
        <v>172</v>
      </c>
      <c r="G135" s="1766" t="n">
        <v>0.001724537037037037</v>
      </c>
      <c r="H135" s="1767" t="s">
        <v>174</v>
      </c>
      <c r="I135" s="1768" t="s">
        <v>109</v>
      </c>
      <c r="J135" s="1769" t="n">
        <v>0.0</v>
      </c>
      <c r="K135" s="1770" t="n">
        <v>1.36</v>
      </c>
      <c r="L135" s="1771" t="s">
        <v>167</v>
      </c>
    </row>
    <row r="136" ht="24.75" customHeight="true">
      <c r="A136" s="1772" t="n">
        <v>42369.467777777776</v>
      </c>
      <c r="B136" s="1773" t="n">
        <v>42369.467777777776</v>
      </c>
      <c r="C136" s="1774" t="s">
        <v>209</v>
      </c>
      <c r="D136" s="1775" t="s">
        <v>170</v>
      </c>
      <c r="E136" s="1776" t="s">
        <v>171</v>
      </c>
      <c r="F136" s="1777" t="s">
        <v>172</v>
      </c>
      <c r="G136" s="1778" t="n">
        <v>1.9675925925925926E-4</v>
      </c>
      <c r="H136" s="1779" t="s">
        <v>174</v>
      </c>
      <c r="I136" s="1780" t="s">
        <v>109</v>
      </c>
      <c r="J136" s="1781" t="n">
        <v>0.0</v>
      </c>
      <c r="K136" s="1782" t="n">
        <v>1.36</v>
      </c>
      <c r="L136" s="1783" t="s">
        <v>167</v>
      </c>
    </row>
    <row r="137" ht="24.75" customHeight="true">
      <c r="A137" s="1784" t="n">
        <v>42369.466678240744</v>
      </c>
      <c r="B137" s="1785" t="n">
        <v>42369.466678240744</v>
      </c>
      <c r="C137" s="1786" t="s">
        <v>169</v>
      </c>
      <c r="D137" s="1787" t="s">
        <v>170</v>
      </c>
      <c r="E137" s="1788" t="s">
        <v>171</v>
      </c>
      <c r="F137" s="1789" t="s">
        <v>172</v>
      </c>
      <c r="G137" s="1790" t="n">
        <v>4.050925925925926E-4</v>
      </c>
      <c r="H137" s="1791" t="s">
        <v>174</v>
      </c>
      <c r="I137" s="1792" t="s">
        <v>109</v>
      </c>
      <c r="J137" s="1793" t="n">
        <v>0.0</v>
      </c>
      <c r="K137" s="1794" t="n">
        <v>1.36</v>
      </c>
      <c r="L137" s="1795" t="s">
        <v>167</v>
      </c>
    </row>
    <row r="138" ht="24.75" customHeight="true">
      <c r="A138" s="1796" t="n">
        <v>42369.44678240741</v>
      </c>
      <c r="B138" s="1797" t="n">
        <v>42369.44678240741</v>
      </c>
      <c r="C138" s="1798" t="s">
        <v>169</v>
      </c>
      <c r="D138" s="1799" t="s">
        <v>186</v>
      </c>
      <c r="E138" s="1800" t="s">
        <v>171</v>
      </c>
      <c r="F138" s="1801" t="s">
        <v>172</v>
      </c>
      <c r="G138" s="1802" t="n">
        <v>3.8194444444444446E-4</v>
      </c>
      <c r="H138" s="1803" t="s">
        <v>174</v>
      </c>
      <c r="I138" s="1804" t="s">
        <v>109</v>
      </c>
      <c r="J138" s="1805" t="n">
        <v>0.0</v>
      </c>
      <c r="K138" s="1806" t="n">
        <v>1.36</v>
      </c>
      <c r="L138" s="1807" t="s">
        <v>167</v>
      </c>
    </row>
    <row r="139" ht="24.75" customHeight="true">
      <c r="A139" s="1808" t="n">
        <v>42369.284212962964</v>
      </c>
      <c r="B139" s="1809" t="n">
        <v>42369.284212962964</v>
      </c>
      <c r="C139" s="1810" t="s">
        <v>169</v>
      </c>
      <c r="D139" s="1811" t="s">
        <v>170</v>
      </c>
      <c r="E139" s="1812" t="s">
        <v>171</v>
      </c>
      <c r="F139" s="1813" t="s">
        <v>172</v>
      </c>
      <c r="G139" s="1814" t="n">
        <v>0.0019444444444444444</v>
      </c>
      <c r="H139" s="1815" t="s">
        <v>174</v>
      </c>
      <c r="I139" s="1816" t="s">
        <v>109</v>
      </c>
      <c r="J139" s="1817" t="n">
        <v>0.0</v>
      </c>
      <c r="K139" s="1818" t="n">
        <v>1.36</v>
      </c>
      <c r="L139" s="1819" t="s">
        <v>167</v>
      </c>
    </row>
    <row r="140" ht="24.75" customHeight="true">
      <c r="A140" s="1820" t="n">
        <v>42369.11516203704</v>
      </c>
      <c r="B140" s="1821" t="n">
        <v>42369.11516203704</v>
      </c>
      <c r="C140" s="1822" t="s">
        <v>231</v>
      </c>
      <c r="D140" s="1823" t="s">
        <v>205</v>
      </c>
      <c r="E140" s="1824" t="s">
        <v>183</v>
      </c>
      <c r="F140" s="1825" t="s">
        <v>183</v>
      </c>
      <c r="G140" s="1826" t="s">
        <v>206</v>
      </c>
      <c r="H140" s="1827" t="s">
        <v>183</v>
      </c>
      <c r="I140" s="1828" t="s">
        <v>109</v>
      </c>
      <c r="J140" s="1829" t="n">
        <v>-5.0</v>
      </c>
      <c r="K140" s="1830" t="n">
        <v>1.36</v>
      </c>
      <c r="L140" s="1831" t="s">
        <v>167</v>
      </c>
    </row>
    <row r="141" ht="24.75" customHeight="true">
      <c r="A141" s="1832" t="n">
        <v>42368.79381944444</v>
      </c>
      <c r="B141" s="1833" t="n">
        <v>42368.79381944444</v>
      </c>
      <c r="C141" s="1834" t="s">
        <v>209</v>
      </c>
      <c r="D141" s="1835" t="s">
        <v>186</v>
      </c>
      <c r="E141" s="1836" t="s">
        <v>171</v>
      </c>
      <c r="F141" s="1837" t="s">
        <v>172</v>
      </c>
      <c r="G141" s="1838" t="n">
        <v>0.004525462962962963</v>
      </c>
      <c r="H141" s="1839" t="s">
        <v>174</v>
      </c>
      <c r="I141" s="1840" t="s">
        <v>109</v>
      </c>
      <c r="J141" s="1841" t="n">
        <v>0.0</v>
      </c>
      <c r="K141" s="1842" t="n">
        <v>6.36</v>
      </c>
      <c r="L141" s="1843" t="s">
        <v>167</v>
      </c>
    </row>
    <row r="142" ht="24.75" customHeight="true">
      <c r="A142" s="1844" t="n">
        <v>42368.7934837963</v>
      </c>
      <c r="B142" s="1845" t="n">
        <v>42368.7934837963</v>
      </c>
      <c r="C142" s="1846" t="s">
        <v>169</v>
      </c>
      <c r="D142" s="1847" t="s">
        <v>186</v>
      </c>
      <c r="E142" s="1848" t="s">
        <v>171</v>
      </c>
      <c r="F142" s="1849" t="s">
        <v>172</v>
      </c>
      <c r="G142" s="1850" t="n">
        <v>1.8518518518518518E-4</v>
      </c>
      <c r="H142" s="1851" t="s">
        <v>174</v>
      </c>
      <c r="I142" s="1852" t="s">
        <v>109</v>
      </c>
      <c r="J142" s="1853" t="n">
        <v>0.0</v>
      </c>
      <c r="K142" s="1854" t="n">
        <v>6.36</v>
      </c>
      <c r="L142" s="1855" t="s">
        <v>167</v>
      </c>
    </row>
    <row r="143" ht="24.75" customHeight="true">
      <c r="A143" s="1856" t="n">
        <v>42368.775358796294</v>
      </c>
      <c r="B143" s="1857" t="n">
        <v>42368.775358796294</v>
      </c>
      <c r="C143" s="1858" t="s">
        <v>169</v>
      </c>
      <c r="D143" s="1859" t="s">
        <v>170</v>
      </c>
      <c r="E143" s="1860" t="s">
        <v>171</v>
      </c>
      <c r="F143" s="1861" t="s">
        <v>172</v>
      </c>
      <c r="G143" s="1862" t="n">
        <v>0.0012731481481481483</v>
      </c>
      <c r="H143" s="1863" t="s">
        <v>174</v>
      </c>
      <c r="I143" s="1864" t="s">
        <v>109</v>
      </c>
      <c r="J143" s="1865" t="n">
        <v>0.0</v>
      </c>
      <c r="K143" s="1866" t="n">
        <v>6.36</v>
      </c>
      <c r="L143" s="1867" t="s">
        <v>167</v>
      </c>
    </row>
    <row r="144" ht="24.75" customHeight="true">
      <c r="A144" s="1868" t="n">
        <v>42368.7533912037</v>
      </c>
      <c r="B144" s="1869" t="n">
        <v>42368.7533912037</v>
      </c>
      <c r="C144" s="1870" t="s">
        <v>209</v>
      </c>
      <c r="D144" s="1871" t="s">
        <v>276</v>
      </c>
      <c r="E144" s="1872" t="s">
        <v>277</v>
      </c>
      <c r="F144" s="1873" t="s">
        <v>172</v>
      </c>
      <c r="G144" s="1874" t="n">
        <v>0.0020833333333333333</v>
      </c>
      <c r="H144" s="1875" t="s">
        <v>174</v>
      </c>
      <c r="I144" s="1876" t="s">
        <v>109</v>
      </c>
      <c r="J144" s="1877" t="n">
        <v>-3.0</v>
      </c>
      <c r="K144" s="1878" t="n">
        <v>6.36</v>
      </c>
      <c r="L144" s="1879" t="s">
        <v>167</v>
      </c>
    </row>
    <row r="145" ht="24.75" customHeight="true">
      <c r="A145" s="1880" t="n">
        <v>42368.63743055556</v>
      </c>
      <c r="B145" s="1881" t="n">
        <v>42368.63743055556</v>
      </c>
      <c r="C145" s="1882" t="s">
        <v>126</v>
      </c>
      <c r="D145" s="1883" t="s">
        <v>205</v>
      </c>
      <c r="E145" s="1884" t="s">
        <v>183</v>
      </c>
      <c r="F145" s="1885" t="s">
        <v>183</v>
      </c>
      <c r="G145" s="1886" t="n">
        <v>1655.0</v>
      </c>
      <c r="H145" s="1887" t="s">
        <v>218</v>
      </c>
      <c r="I145" s="1888" t="s">
        <v>109</v>
      </c>
      <c r="J145" s="1889" t="n">
        <v>0.0</v>
      </c>
      <c r="K145" s="1890" t="s">
        <v>206</v>
      </c>
      <c r="L145" s="1891" t="s">
        <v>167</v>
      </c>
    </row>
    <row r="146" ht="24.75" customHeight="true">
      <c r="A146" s="1892" t="n">
        <v>42368.586805555555</v>
      </c>
      <c r="B146" s="1893" t="n">
        <v>42368.586805555555</v>
      </c>
      <c r="C146" s="1894" t="s">
        <v>209</v>
      </c>
      <c r="D146" s="1895" t="s">
        <v>170</v>
      </c>
      <c r="E146" s="1896" t="s">
        <v>171</v>
      </c>
      <c r="F146" s="1897" t="s">
        <v>172</v>
      </c>
      <c r="G146" s="1898" t="n">
        <v>5.671296296296297E-4</v>
      </c>
      <c r="H146" s="1899" t="s">
        <v>174</v>
      </c>
      <c r="I146" s="1900" t="s">
        <v>109</v>
      </c>
      <c r="J146" s="1901" t="n">
        <v>0.0</v>
      </c>
      <c r="K146" s="1902" t="n">
        <v>9.36</v>
      </c>
      <c r="L146" s="1903" t="s">
        <v>167</v>
      </c>
    </row>
    <row r="147" ht="24.75" customHeight="true">
      <c r="A147" s="1904" t="n">
        <v>42368.5859837963</v>
      </c>
      <c r="B147" s="1905" t="n">
        <v>42368.5859837963</v>
      </c>
      <c r="C147" s="1906" t="s">
        <v>281</v>
      </c>
      <c r="D147" s="1907" t="s">
        <v>282</v>
      </c>
      <c r="E147" s="1908" t="s">
        <v>183</v>
      </c>
      <c r="F147" s="1909" t="s">
        <v>183</v>
      </c>
      <c r="G147" s="1910" t="n">
        <v>3.472222222222222E-5</v>
      </c>
      <c r="H147" s="1911" t="s">
        <v>174</v>
      </c>
      <c r="I147" s="1912" t="s">
        <v>109</v>
      </c>
      <c r="J147" s="1913" t="n">
        <v>0.0</v>
      </c>
      <c r="K147" s="1914" t="n">
        <v>9.36</v>
      </c>
      <c r="L147" s="1915" t="s">
        <v>167</v>
      </c>
    </row>
    <row r="148" ht="24.75" customHeight="true">
      <c r="A148" s="1916" t="n">
        <v>42368.5859837963</v>
      </c>
      <c r="B148" s="1917" t="n">
        <v>42368.5859837963</v>
      </c>
      <c r="C148" s="1918" t="s">
        <v>284</v>
      </c>
      <c r="D148" s="1919" t="s">
        <v>170</v>
      </c>
      <c r="E148" s="1920" t="s">
        <v>171</v>
      </c>
      <c r="F148" s="1921" t="s">
        <v>172</v>
      </c>
      <c r="G148" s="1922" t="n">
        <v>3.472222222222222E-5</v>
      </c>
      <c r="H148" s="1923" t="s">
        <v>174</v>
      </c>
      <c r="I148" s="1924" t="s">
        <v>109</v>
      </c>
      <c r="J148" s="1925" t="n">
        <v>0.0</v>
      </c>
      <c r="K148" s="1926" t="n">
        <v>9.36</v>
      </c>
      <c r="L148" s="1927" t="s">
        <v>167</v>
      </c>
    </row>
    <row r="149" ht="24.75" customHeight="true">
      <c r="A149" s="1928" t="n">
        <v>42368.359872685185</v>
      </c>
      <c r="B149" s="1929" t="n">
        <v>42368.359872685185</v>
      </c>
      <c r="C149" s="1930" t="s">
        <v>169</v>
      </c>
      <c r="D149" s="1931" t="s">
        <v>170</v>
      </c>
      <c r="E149" s="1932" t="s">
        <v>171</v>
      </c>
      <c r="F149" s="1933" t="s">
        <v>172</v>
      </c>
      <c r="G149" s="1934" t="n">
        <v>3.4722222222222224E-4</v>
      </c>
      <c r="H149" s="1935" t="s">
        <v>174</v>
      </c>
      <c r="I149" s="1936" t="s">
        <v>109</v>
      </c>
      <c r="J149" s="1937" t="n">
        <v>0.0</v>
      </c>
      <c r="K149" s="1938" t="n">
        <v>9.36</v>
      </c>
      <c r="L149" s="1939" t="s">
        <v>167</v>
      </c>
    </row>
    <row r="150" ht="24.75" customHeight="true">
      <c r="A150" s="1940" t="n">
        <v>42368.10136574074</v>
      </c>
      <c r="B150" s="1941" t="n">
        <v>42368.10136574074</v>
      </c>
      <c r="C150" s="1942" t="s">
        <v>231</v>
      </c>
      <c r="D150" s="1943" t="s">
        <v>205</v>
      </c>
      <c r="E150" s="1944" t="s">
        <v>183</v>
      </c>
      <c r="F150" s="1945" t="s">
        <v>183</v>
      </c>
      <c r="G150" s="1946" t="s">
        <v>206</v>
      </c>
      <c r="H150" s="1947" t="s">
        <v>183</v>
      </c>
      <c r="I150" s="1948" t="s">
        <v>109</v>
      </c>
      <c r="J150" s="1949" t="n">
        <v>-5.0</v>
      </c>
      <c r="K150" s="1950" t="n">
        <v>9.36</v>
      </c>
      <c r="L150" s="1951" t="s">
        <v>167</v>
      </c>
    </row>
    <row r="151" ht="24.75" customHeight="true">
      <c r="A151" s="1952" t="n">
        <v>42367.858136574076</v>
      </c>
      <c r="B151" s="1953" t="n">
        <v>42367.858136574076</v>
      </c>
      <c r="C151" s="1954" t="s">
        <v>169</v>
      </c>
      <c r="D151" s="1955" t="s">
        <v>170</v>
      </c>
      <c r="E151" s="1956" t="s">
        <v>171</v>
      </c>
      <c r="F151" s="1957" t="s">
        <v>172</v>
      </c>
      <c r="G151" s="1958" t="n">
        <v>4.861111111111111E-4</v>
      </c>
      <c r="H151" s="1959" t="s">
        <v>174</v>
      </c>
      <c r="I151" s="1960" t="s">
        <v>109</v>
      </c>
      <c r="J151" s="1961" t="n">
        <v>0.0</v>
      </c>
      <c r="K151" s="1962" t="n">
        <v>14.36</v>
      </c>
      <c r="L151" s="1963" t="s">
        <v>167</v>
      </c>
    </row>
    <row r="152" ht="24.75" customHeight="true">
      <c r="A152" s="1964" t="n">
        <v>42367.85225694445</v>
      </c>
      <c r="B152" s="1965" t="n">
        <v>42367.85225694445</v>
      </c>
      <c r="C152" s="1966" t="s">
        <v>281</v>
      </c>
      <c r="D152" s="1967" t="s">
        <v>282</v>
      </c>
      <c r="E152" s="1968" t="s">
        <v>183</v>
      </c>
      <c r="F152" s="1969" t="s">
        <v>183</v>
      </c>
      <c r="G152" s="1970" t="n">
        <v>1.0416666666666667E-4</v>
      </c>
      <c r="H152" s="1971" t="s">
        <v>174</v>
      </c>
      <c r="I152" s="1972" t="s">
        <v>109</v>
      </c>
      <c r="J152" s="1973" t="n">
        <v>0.0</v>
      </c>
      <c r="K152" s="1974" t="n">
        <v>14.36</v>
      </c>
      <c r="L152" s="1975" t="s">
        <v>167</v>
      </c>
    </row>
    <row r="153" ht="24.75" customHeight="true">
      <c r="A153" s="1976" t="n">
        <v>42367.85225694445</v>
      </c>
      <c r="B153" s="1977" t="n">
        <v>42367.85225694445</v>
      </c>
      <c r="C153" s="1978" t="s">
        <v>284</v>
      </c>
      <c r="D153" s="1979" t="s">
        <v>170</v>
      </c>
      <c r="E153" s="1980" t="s">
        <v>171</v>
      </c>
      <c r="F153" s="1981" t="s">
        <v>172</v>
      </c>
      <c r="G153" s="1982" t="n">
        <v>1.0416666666666667E-4</v>
      </c>
      <c r="H153" s="1983" t="s">
        <v>174</v>
      </c>
      <c r="I153" s="1984" t="s">
        <v>109</v>
      </c>
      <c r="J153" s="1985" t="n">
        <v>0.0</v>
      </c>
      <c r="K153" s="1986" t="n">
        <v>14.36</v>
      </c>
      <c r="L153" s="1987" t="s">
        <v>167</v>
      </c>
    </row>
    <row r="154" ht="24.75" customHeight="true">
      <c r="A154" s="1988" t="n">
        <v>42367.79127314815</v>
      </c>
      <c r="B154" s="1989" t="n">
        <v>42367.79127314815</v>
      </c>
      <c r="C154" s="1990" t="s">
        <v>169</v>
      </c>
      <c r="D154" s="1991" t="s">
        <v>170</v>
      </c>
      <c r="E154" s="1992" t="s">
        <v>171</v>
      </c>
      <c r="F154" s="1993" t="s">
        <v>172</v>
      </c>
      <c r="G154" s="1994" t="n">
        <v>9.606481481481482E-4</v>
      </c>
      <c r="H154" s="1995" t="s">
        <v>174</v>
      </c>
      <c r="I154" s="1996" t="s">
        <v>109</v>
      </c>
      <c r="J154" s="1997" t="n">
        <v>0.0</v>
      </c>
      <c r="K154" s="1998" t="n">
        <v>14.36</v>
      </c>
      <c r="L154" s="1999" t="s">
        <v>167</v>
      </c>
    </row>
    <row r="155" ht="24.75" customHeight="true">
      <c r="A155" s="2000" t="n">
        <v>42367.77936342593</v>
      </c>
      <c r="B155" s="2001" t="n">
        <v>42367.77936342593</v>
      </c>
      <c r="C155" s="2002" t="s">
        <v>169</v>
      </c>
      <c r="D155" s="2003" t="s">
        <v>286</v>
      </c>
      <c r="E155" s="2004" t="s">
        <v>277</v>
      </c>
      <c r="F155" s="2005" t="s">
        <v>287</v>
      </c>
      <c r="G155" s="2006" t="n">
        <v>3.4722222222222224E-4</v>
      </c>
      <c r="H155" s="2007" t="s">
        <v>174</v>
      </c>
      <c r="I155" s="2008" t="s">
        <v>109</v>
      </c>
      <c r="J155" s="2009" t="n">
        <v>0.0</v>
      </c>
      <c r="K155" s="2010" t="n">
        <v>14.36</v>
      </c>
      <c r="L155" s="2011" t="s">
        <v>167</v>
      </c>
    </row>
    <row r="156" ht="24.75" customHeight="true">
      <c r="A156" s="2012" t="n">
        <v>42367.77789351852</v>
      </c>
      <c r="B156" s="2013" t="n">
        <v>42367.77789351852</v>
      </c>
      <c r="C156" s="2014" t="s">
        <v>169</v>
      </c>
      <c r="D156" s="2015" t="s">
        <v>288</v>
      </c>
      <c r="E156" s="2016" t="s">
        <v>277</v>
      </c>
      <c r="F156" s="2017" t="s">
        <v>287</v>
      </c>
      <c r="G156" s="2018" t="n">
        <v>0.001099537037037037</v>
      </c>
      <c r="H156" s="2019" t="s">
        <v>174</v>
      </c>
      <c r="I156" s="2020" t="s">
        <v>109</v>
      </c>
      <c r="J156" s="2021" t="n">
        <v>0.0</v>
      </c>
      <c r="K156" s="2022" t="n">
        <v>14.36</v>
      </c>
      <c r="L156" s="2023" t="s">
        <v>167</v>
      </c>
    </row>
    <row r="157" ht="24.75" customHeight="true">
      <c r="A157" s="2024" t="n">
        <v>42367.75523148148</v>
      </c>
      <c r="B157" s="2025" t="n">
        <v>42367.75523148148</v>
      </c>
      <c r="C157" s="2026" t="s">
        <v>209</v>
      </c>
      <c r="D157" s="2027" t="s">
        <v>170</v>
      </c>
      <c r="E157" s="2028" t="s">
        <v>171</v>
      </c>
      <c r="F157" s="2029" t="s">
        <v>172</v>
      </c>
      <c r="G157" s="2030" t="n">
        <v>4.398148148148148E-4</v>
      </c>
      <c r="H157" s="2031" t="s">
        <v>174</v>
      </c>
      <c r="I157" s="2032" t="s">
        <v>109</v>
      </c>
      <c r="J157" s="2033" t="n">
        <v>0.0</v>
      </c>
      <c r="K157" s="2034" t="n">
        <v>14.36</v>
      </c>
      <c r="L157" s="2035" t="s">
        <v>167</v>
      </c>
    </row>
    <row r="158" ht="24.75" customHeight="true">
      <c r="A158" s="2036" t="n">
        <v>42367.67422453704</v>
      </c>
      <c r="B158" s="2037" t="n">
        <v>42367.67422453704</v>
      </c>
      <c r="C158" s="2038" t="s">
        <v>281</v>
      </c>
      <c r="D158" s="2039" t="s">
        <v>282</v>
      </c>
      <c r="E158" s="2040" t="s">
        <v>183</v>
      </c>
      <c r="F158" s="2041" t="s">
        <v>183</v>
      </c>
      <c r="G158" s="2042" t="n">
        <v>5.092592592592592E-4</v>
      </c>
      <c r="H158" s="2043" t="s">
        <v>174</v>
      </c>
      <c r="I158" s="2044" t="s">
        <v>109</v>
      </c>
      <c r="J158" s="2045" t="n">
        <v>0.0</v>
      </c>
      <c r="K158" s="2046" t="n">
        <v>14.36</v>
      </c>
      <c r="L158" s="2047" t="s">
        <v>167</v>
      </c>
    </row>
    <row r="159" ht="24.75" customHeight="true">
      <c r="A159" s="2048" t="n">
        <v>42367.67422453704</v>
      </c>
      <c r="B159" s="2049" t="n">
        <v>42367.67422453704</v>
      </c>
      <c r="C159" s="2050" t="s">
        <v>284</v>
      </c>
      <c r="D159" s="2051" t="s">
        <v>292</v>
      </c>
      <c r="E159" s="2052" t="s">
        <v>277</v>
      </c>
      <c r="F159" s="2053" t="s">
        <v>287</v>
      </c>
      <c r="G159" s="2054" t="n">
        <v>5.092592592592592E-4</v>
      </c>
      <c r="H159" s="2055" t="s">
        <v>174</v>
      </c>
      <c r="I159" s="2056" t="s">
        <v>109</v>
      </c>
      <c r="J159" s="2057" t="n">
        <v>0.0</v>
      </c>
      <c r="K159" s="2058" t="n">
        <v>14.36</v>
      </c>
      <c r="L159" s="2059" t="s">
        <v>167</v>
      </c>
    </row>
    <row r="160" ht="24.75" customHeight="true">
      <c r="A160" s="2060" t="n">
        <v>42367.64673611111</v>
      </c>
      <c r="B160" s="2061" t="n">
        <v>42367.64673611111</v>
      </c>
      <c r="C160" s="2062" t="s">
        <v>126</v>
      </c>
      <c r="D160" s="2063" t="s">
        <v>205</v>
      </c>
      <c r="E160" s="2064" t="s">
        <v>183</v>
      </c>
      <c r="F160" s="2065" t="s">
        <v>183</v>
      </c>
      <c r="G160" s="2066" t="n">
        <v>451.0</v>
      </c>
      <c r="H160" s="2067" t="s">
        <v>218</v>
      </c>
      <c r="I160" s="2068" t="s">
        <v>109</v>
      </c>
      <c r="J160" s="2069" t="n">
        <v>0.0</v>
      </c>
      <c r="K160" s="2070" t="s">
        <v>206</v>
      </c>
      <c r="L160" s="2071" t="s">
        <v>167</v>
      </c>
    </row>
    <row r="161" ht="24.75" customHeight="true">
      <c r="A161" s="2072" t="n">
        <v>42367.604849537034</v>
      </c>
      <c r="B161" s="2073" t="n">
        <v>42367.604849537034</v>
      </c>
      <c r="C161" s="2074" t="s">
        <v>281</v>
      </c>
      <c r="D161" s="2075" t="s">
        <v>282</v>
      </c>
      <c r="E161" s="2076" t="s">
        <v>183</v>
      </c>
      <c r="F161" s="2077" t="s">
        <v>183</v>
      </c>
      <c r="G161" s="2078" t="n">
        <v>5.092592592592592E-4</v>
      </c>
      <c r="H161" s="2079" t="s">
        <v>174</v>
      </c>
      <c r="I161" s="2080" t="s">
        <v>109</v>
      </c>
      <c r="J161" s="2081" t="n">
        <v>0.0</v>
      </c>
      <c r="K161" s="2082" t="n">
        <v>14.36</v>
      </c>
      <c r="L161" s="2083" t="s">
        <v>167</v>
      </c>
    </row>
    <row r="162" ht="24.75" customHeight="true">
      <c r="A162" s="2084" t="n">
        <v>42367.604849537034</v>
      </c>
      <c r="B162" s="2085" t="n">
        <v>42367.604849537034</v>
      </c>
      <c r="C162" s="2086" t="s">
        <v>284</v>
      </c>
      <c r="D162" s="2087" t="s">
        <v>292</v>
      </c>
      <c r="E162" s="2088" t="s">
        <v>277</v>
      </c>
      <c r="F162" s="2089" t="s">
        <v>287</v>
      </c>
      <c r="G162" s="2090" t="n">
        <v>5.092592592592592E-4</v>
      </c>
      <c r="H162" s="2091" t="s">
        <v>174</v>
      </c>
      <c r="I162" s="2092" t="s">
        <v>109</v>
      </c>
      <c r="J162" s="2093" t="n">
        <v>0.0</v>
      </c>
      <c r="K162" s="2094" t="n">
        <v>14.36</v>
      </c>
      <c r="L162" s="2095" t="s">
        <v>167</v>
      </c>
    </row>
    <row r="163" ht="24.75" customHeight="true">
      <c r="A163" s="2096" t="n">
        <v>42367.546168981484</v>
      </c>
      <c r="B163" s="2097" t="n">
        <v>42367.546168981484</v>
      </c>
      <c r="C163" s="2098" t="s">
        <v>281</v>
      </c>
      <c r="D163" s="2099" t="s">
        <v>282</v>
      </c>
      <c r="E163" s="2100" t="s">
        <v>183</v>
      </c>
      <c r="F163" s="2101" t="s">
        <v>183</v>
      </c>
      <c r="G163" s="2102" t="n">
        <v>5.092592592592592E-4</v>
      </c>
      <c r="H163" s="2103" t="s">
        <v>174</v>
      </c>
      <c r="I163" s="2104" t="s">
        <v>109</v>
      </c>
      <c r="J163" s="2105" t="n">
        <v>0.0</v>
      </c>
      <c r="K163" s="2106" t="n">
        <v>14.36</v>
      </c>
      <c r="L163" s="2107" t="s">
        <v>167</v>
      </c>
    </row>
    <row r="164" ht="24.75" customHeight="true">
      <c r="A164" s="2108" t="n">
        <v>42367.546168981484</v>
      </c>
      <c r="B164" s="2109" t="n">
        <v>42367.546168981484</v>
      </c>
      <c r="C164" s="2110" t="s">
        <v>284</v>
      </c>
      <c r="D164" s="2111" t="s">
        <v>292</v>
      </c>
      <c r="E164" s="2112" t="s">
        <v>277</v>
      </c>
      <c r="F164" s="2113" t="s">
        <v>287</v>
      </c>
      <c r="G164" s="2114" t="n">
        <v>5.092592592592592E-4</v>
      </c>
      <c r="H164" s="2115" t="s">
        <v>174</v>
      </c>
      <c r="I164" s="2116" t="s">
        <v>109</v>
      </c>
      <c r="J164" s="2117" t="n">
        <v>0.0</v>
      </c>
      <c r="K164" s="2118" t="n">
        <v>14.36</v>
      </c>
      <c r="L164" s="2119" t="s">
        <v>167</v>
      </c>
    </row>
    <row r="165" ht="24.75" customHeight="true">
      <c r="A165" s="2120" t="n">
        <v>42367.458182870374</v>
      </c>
      <c r="B165" s="2121" t="n">
        <v>42367.458182870374</v>
      </c>
      <c r="C165" s="2122" t="s">
        <v>281</v>
      </c>
      <c r="D165" s="2123" t="s">
        <v>282</v>
      </c>
      <c r="E165" s="2124" t="s">
        <v>183</v>
      </c>
      <c r="F165" s="2125" t="s">
        <v>183</v>
      </c>
      <c r="G165" s="2126" t="n">
        <v>5.092592592592592E-4</v>
      </c>
      <c r="H165" s="2127" t="s">
        <v>174</v>
      </c>
      <c r="I165" s="2128" t="s">
        <v>109</v>
      </c>
      <c r="J165" s="2129" t="n">
        <v>0.0</v>
      </c>
      <c r="K165" s="2130" t="n">
        <v>14.36</v>
      </c>
      <c r="L165" s="2131" t="s">
        <v>167</v>
      </c>
    </row>
    <row r="166" ht="24.75" customHeight="true">
      <c r="A166" s="2132" t="n">
        <v>42367.458182870374</v>
      </c>
      <c r="B166" s="2133" t="n">
        <v>42367.458182870374</v>
      </c>
      <c r="C166" s="2134" t="s">
        <v>284</v>
      </c>
      <c r="D166" s="2135" t="s">
        <v>292</v>
      </c>
      <c r="E166" s="2136" t="s">
        <v>277</v>
      </c>
      <c r="F166" s="2137" t="s">
        <v>287</v>
      </c>
      <c r="G166" s="2138" t="n">
        <v>5.092592592592592E-4</v>
      </c>
      <c r="H166" s="2139" t="s">
        <v>174</v>
      </c>
      <c r="I166" s="2140" t="s">
        <v>109</v>
      </c>
      <c r="J166" s="2141" t="n">
        <v>0.0</v>
      </c>
      <c r="K166" s="2142" t="n">
        <v>14.36</v>
      </c>
      <c r="L166" s="2143" t="s">
        <v>167</v>
      </c>
    </row>
    <row r="167" ht="24.75" customHeight="true">
      <c r="A167" s="2144" t="n">
        <v>42367.342141203706</v>
      </c>
      <c r="B167" s="2145" t="n">
        <v>42367.342141203706</v>
      </c>
      <c r="C167" s="2146" t="s">
        <v>209</v>
      </c>
      <c r="D167" s="2147" t="s">
        <v>170</v>
      </c>
      <c r="E167" s="2148" t="s">
        <v>171</v>
      </c>
      <c r="F167" s="2149" t="s">
        <v>172</v>
      </c>
      <c r="G167" s="2150" t="n">
        <v>4.166666666666667E-4</v>
      </c>
      <c r="H167" s="2151" t="s">
        <v>174</v>
      </c>
      <c r="I167" s="2152" t="s">
        <v>109</v>
      </c>
      <c r="J167" s="2153" t="n">
        <v>0.0</v>
      </c>
      <c r="K167" s="2154" t="n">
        <v>14.36</v>
      </c>
      <c r="L167" s="2155" t="s">
        <v>167</v>
      </c>
    </row>
    <row r="168" ht="24.75" customHeight="true">
      <c r="A168" s="2156" t="n">
        <v>42367.104837962965</v>
      </c>
      <c r="B168" s="2157" t="n">
        <v>42367.104837962965</v>
      </c>
      <c r="C168" s="2158" t="s">
        <v>231</v>
      </c>
      <c r="D168" s="2159" t="s">
        <v>205</v>
      </c>
      <c r="E168" s="2160" t="s">
        <v>183</v>
      </c>
      <c r="F168" s="2161" t="s">
        <v>183</v>
      </c>
      <c r="G168" s="2162" t="s">
        <v>206</v>
      </c>
      <c r="H168" s="2163" t="s">
        <v>183</v>
      </c>
      <c r="I168" s="2164" t="s">
        <v>109</v>
      </c>
      <c r="J168" s="2165" t="n">
        <v>-5.0</v>
      </c>
      <c r="K168" s="2166" t="n">
        <v>14.36</v>
      </c>
      <c r="L168" s="2167" t="s">
        <v>167</v>
      </c>
    </row>
    <row r="169" ht="24.75" customHeight="true">
      <c r="A169" s="2168" t="n">
        <v>42366.85979166667</v>
      </c>
      <c r="B169" s="2169" t="n">
        <v>42366.85979166667</v>
      </c>
      <c r="C169" s="2170" t="s">
        <v>209</v>
      </c>
      <c r="D169" s="2171" t="s">
        <v>186</v>
      </c>
      <c r="E169" s="2172" t="s">
        <v>171</v>
      </c>
      <c r="F169" s="2173" t="s">
        <v>172</v>
      </c>
      <c r="G169" s="2174" t="n">
        <v>8.796296296296296E-4</v>
      </c>
      <c r="H169" s="2175" t="s">
        <v>174</v>
      </c>
      <c r="I169" s="2176" t="s">
        <v>109</v>
      </c>
      <c r="J169" s="2177" t="n">
        <v>0.0</v>
      </c>
      <c r="K169" s="2178" t="n">
        <v>19.36</v>
      </c>
      <c r="L169" s="2179" t="s">
        <v>167</v>
      </c>
    </row>
    <row r="170" ht="24.75" customHeight="true">
      <c r="A170" s="2180" t="n">
        <v>42366.73092592593</v>
      </c>
      <c r="B170" s="2181" t="n">
        <v>42366.73092592593</v>
      </c>
      <c r="C170" s="2182" t="s">
        <v>169</v>
      </c>
      <c r="D170" s="2183" t="s">
        <v>170</v>
      </c>
      <c r="E170" s="2184" t="s">
        <v>171</v>
      </c>
      <c r="F170" s="2185" t="s">
        <v>172</v>
      </c>
      <c r="G170" s="2186" t="n">
        <v>2.662037037037037E-4</v>
      </c>
      <c r="H170" s="2187" t="s">
        <v>174</v>
      </c>
      <c r="I170" s="2188" t="s">
        <v>109</v>
      </c>
      <c r="J170" s="2189" t="n">
        <v>0.0</v>
      </c>
      <c r="K170" s="2190" t="n">
        <v>19.36</v>
      </c>
      <c r="L170" s="2191" t="s">
        <v>167</v>
      </c>
    </row>
    <row r="171" ht="24.75" customHeight="true">
      <c r="A171" s="2192" t="n">
        <v>42366.72511574074</v>
      </c>
      <c r="B171" s="2193" t="n">
        <v>42366.72511574074</v>
      </c>
      <c r="C171" s="2194" t="s">
        <v>169</v>
      </c>
      <c r="D171" s="2195" t="s">
        <v>170</v>
      </c>
      <c r="E171" s="2196" t="s">
        <v>171</v>
      </c>
      <c r="F171" s="2197" t="s">
        <v>172</v>
      </c>
      <c r="G171" s="2198" t="n">
        <v>5.092592592592592E-4</v>
      </c>
      <c r="H171" s="2199" t="s">
        <v>174</v>
      </c>
      <c r="I171" s="2200" t="s">
        <v>109</v>
      </c>
      <c r="J171" s="2201" t="n">
        <v>0.0</v>
      </c>
      <c r="K171" s="2202" t="n">
        <v>19.36</v>
      </c>
      <c r="L171" s="2203" t="s">
        <v>167</v>
      </c>
    </row>
    <row r="172" ht="24.75" customHeight="true">
      <c r="A172" s="2204" t="n">
        <v>42366.625023148146</v>
      </c>
      <c r="B172" s="2205" t="n">
        <v>42366.625023148146</v>
      </c>
      <c r="C172" s="2206" t="s">
        <v>169</v>
      </c>
      <c r="D172" s="2207" t="s">
        <v>296</v>
      </c>
      <c r="E172" s="2208" t="s">
        <v>297</v>
      </c>
      <c r="F172" s="2209" t="s">
        <v>172</v>
      </c>
      <c r="G172" s="2210" t="n">
        <v>6.018518518518519E-4</v>
      </c>
      <c r="H172" s="2211" t="s">
        <v>174</v>
      </c>
      <c r="I172" s="2212" t="s">
        <v>109</v>
      </c>
      <c r="J172" s="2213" t="n">
        <v>0.0</v>
      </c>
      <c r="K172" s="2214" t="n">
        <v>19.36</v>
      </c>
      <c r="L172" s="2215" t="s">
        <v>167</v>
      </c>
    </row>
    <row r="173" ht="24.75" customHeight="true">
      <c r="A173" s="2216" t="n">
        <v>42366.5934375</v>
      </c>
      <c r="B173" s="2217" t="n">
        <v>42366.5934375</v>
      </c>
      <c r="C173" s="2218" t="s">
        <v>281</v>
      </c>
      <c r="D173" s="2219" t="s">
        <v>282</v>
      </c>
      <c r="E173" s="2220" t="s">
        <v>183</v>
      </c>
      <c r="F173" s="2221" t="s">
        <v>183</v>
      </c>
      <c r="G173" s="2222" t="n">
        <v>5.092592592592592E-4</v>
      </c>
      <c r="H173" s="2223" t="s">
        <v>174</v>
      </c>
      <c r="I173" s="2224" t="s">
        <v>109</v>
      </c>
      <c r="J173" s="2225" t="n">
        <v>0.0</v>
      </c>
      <c r="K173" s="2226" t="n">
        <v>19.36</v>
      </c>
      <c r="L173" s="2227" t="s">
        <v>167</v>
      </c>
    </row>
    <row r="174" ht="24.75" customHeight="true">
      <c r="A174" s="2228" t="n">
        <v>42366.5934375</v>
      </c>
      <c r="B174" s="2229" t="n">
        <v>42366.5934375</v>
      </c>
      <c r="C174" s="2230" t="s">
        <v>284</v>
      </c>
      <c r="D174" s="2231" t="s">
        <v>292</v>
      </c>
      <c r="E174" s="2232" t="s">
        <v>277</v>
      </c>
      <c r="F174" s="2233" t="s">
        <v>287</v>
      </c>
      <c r="G174" s="2234" t="n">
        <v>5.092592592592592E-4</v>
      </c>
      <c r="H174" s="2235" t="s">
        <v>174</v>
      </c>
      <c r="I174" s="2236" t="s">
        <v>109</v>
      </c>
      <c r="J174" s="2237" t="n">
        <v>0.0</v>
      </c>
      <c r="K174" s="2238" t="n">
        <v>19.36</v>
      </c>
      <c r="L174" s="2239" t="s">
        <v>167</v>
      </c>
    </row>
    <row r="175" ht="24.75" customHeight="true">
      <c r="A175" s="2240" t="n">
        <v>42366.583136574074</v>
      </c>
      <c r="B175" s="2241" t="n">
        <v>42366.583136574074</v>
      </c>
      <c r="C175" s="2242" t="s">
        <v>169</v>
      </c>
      <c r="D175" s="2243" t="s">
        <v>186</v>
      </c>
      <c r="E175" s="2244" t="s">
        <v>171</v>
      </c>
      <c r="F175" s="2245" t="s">
        <v>172</v>
      </c>
      <c r="G175" s="2246" t="n">
        <v>9.606481481481482E-4</v>
      </c>
      <c r="H175" s="2247" t="s">
        <v>174</v>
      </c>
      <c r="I175" s="2248" t="s">
        <v>109</v>
      </c>
      <c r="J175" s="2249" t="n">
        <v>0.0</v>
      </c>
      <c r="K175" s="2250" t="n">
        <v>19.36</v>
      </c>
      <c r="L175" s="2251" t="s">
        <v>167</v>
      </c>
    </row>
    <row r="176" ht="24.75" customHeight="true">
      <c r="A176" s="2252" t="n">
        <v>42366.485601851855</v>
      </c>
      <c r="B176" s="2253" t="n">
        <v>42366.485601851855</v>
      </c>
      <c r="C176" s="2254" t="s">
        <v>281</v>
      </c>
      <c r="D176" s="2255" t="s">
        <v>282</v>
      </c>
      <c r="E176" s="2256" t="s">
        <v>183</v>
      </c>
      <c r="F176" s="2257" t="s">
        <v>183</v>
      </c>
      <c r="G176" s="2258" t="n">
        <v>5.092592592592592E-4</v>
      </c>
      <c r="H176" s="2259" t="s">
        <v>174</v>
      </c>
      <c r="I176" s="2260" t="s">
        <v>109</v>
      </c>
      <c r="J176" s="2261" t="n">
        <v>0.0</v>
      </c>
      <c r="K176" s="2262" t="n">
        <v>19.36</v>
      </c>
      <c r="L176" s="2263" t="s">
        <v>167</v>
      </c>
    </row>
    <row r="177" ht="24.75" customHeight="true">
      <c r="A177" s="2264" t="n">
        <v>42366.485601851855</v>
      </c>
      <c r="B177" s="2265" t="n">
        <v>42366.485601851855</v>
      </c>
      <c r="C177" s="2266" t="s">
        <v>284</v>
      </c>
      <c r="D177" s="2267" t="s">
        <v>292</v>
      </c>
      <c r="E177" s="2268" t="s">
        <v>277</v>
      </c>
      <c r="F177" s="2269" t="s">
        <v>287</v>
      </c>
      <c r="G177" s="2270" t="n">
        <v>5.092592592592592E-4</v>
      </c>
      <c r="H177" s="2271" t="s">
        <v>174</v>
      </c>
      <c r="I177" s="2272" t="s">
        <v>109</v>
      </c>
      <c r="J177" s="2273" t="n">
        <v>0.0</v>
      </c>
      <c r="K177" s="2274" t="n">
        <v>19.36</v>
      </c>
      <c r="L177" s="2275" t="s">
        <v>167</v>
      </c>
    </row>
    <row r="178" ht="24.75" customHeight="true">
      <c r="A178" s="2276" t="n">
        <v>42366.17555555556</v>
      </c>
      <c r="B178" s="2277" t="n">
        <v>42366.17555555556</v>
      </c>
      <c r="C178" s="2278" t="s">
        <v>126</v>
      </c>
      <c r="D178" s="2279" t="s">
        <v>205</v>
      </c>
      <c r="E178" s="2280" t="s">
        <v>183</v>
      </c>
      <c r="F178" s="2281" t="s">
        <v>183</v>
      </c>
      <c r="G178" s="2282" t="n">
        <v>5655.0</v>
      </c>
      <c r="H178" s="2283" t="s">
        <v>218</v>
      </c>
      <c r="I178" s="2284" t="s">
        <v>109</v>
      </c>
      <c r="J178" s="2285" t="n">
        <v>0.0</v>
      </c>
      <c r="K178" s="2286" t="s">
        <v>206</v>
      </c>
      <c r="L178" s="2287" t="s">
        <v>167</v>
      </c>
    </row>
    <row r="179" ht="24.75" customHeight="true">
      <c r="A179" s="2288" t="n">
        <v>42366.1153125</v>
      </c>
      <c r="B179" s="2289" t="n">
        <v>42366.1153125</v>
      </c>
      <c r="C179" s="2290" t="s">
        <v>231</v>
      </c>
      <c r="D179" s="2291" t="s">
        <v>205</v>
      </c>
      <c r="E179" s="2292" t="s">
        <v>183</v>
      </c>
      <c r="F179" s="2293" t="s">
        <v>183</v>
      </c>
      <c r="G179" s="2294" t="s">
        <v>206</v>
      </c>
      <c r="H179" s="2295" t="s">
        <v>183</v>
      </c>
      <c r="I179" s="2296" t="s">
        <v>109</v>
      </c>
      <c r="J179" s="2297" t="n">
        <v>-5.0</v>
      </c>
      <c r="K179" s="2298" t="n">
        <v>19.36</v>
      </c>
      <c r="L179" s="2299" t="s">
        <v>167</v>
      </c>
    </row>
    <row r="180" ht="24.75" customHeight="true">
      <c r="A180" s="2300" t="n">
        <v>42365.8127662037</v>
      </c>
      <c r="B180" s="2301" t="n">
        <v>42365.8127662037</v>
      </c>
      <c r="C180" s="2302" t="s">
        <v>169</v>
      </c>
      <c r="D180" s="2303" t="s">
        <v>170</v>
      </c>
      <c r="E180" s="2304" t="s">
        <v>171</v>
      </c>
      <c r="F180" s="2305" t="s">
        <v>172</v>
      </c>
      <c r="G180" s="2306" t="n">
        <v>8.217592592592593E-4</v>
      </c>
      <c r="H180" s="2307" t="s">
        <v>174</v>
      </c>
      <c r="I180" s="2308" t="s">
        <v>109</v>
      </c>
      <c r="J180" s="2309" t="n">
        <v>0.0</v>
      </c>
      <c r="K180" s="2310" t="n">
        <v>24.36</v>
      </c>
      <c r="L180" s="2311" t="s">
        <v>167</v>
      </c>
    </row>
    <row r="181" ht="24.75" customHeight="true">
      <c r="A181" s="2312" t="n">
        <v>42365.80412037037</v>
      </c>
      <c r="B181" s="2313" t="n">
        <v>42365.80412037037</v>
      </c>
      <c r="C181" s="2314" t="s">
        <v>281</v>
      </c>
      <c r="D181" s="2315" t="s">
        <v>282</v>
      </c>
      <c r="E181" s="2316" t="s">
        <v>183</v>
      </c>
      <c r="F181" s="2317" t="s">
        <v>183</v>
      </c>
      <c r="G181" s="2318" t="n">
        <v>2.0833333333333335E-4</v>
      </c>
      <c r="H181" s="2319" t="s">
        <v>174</v>
      </c>
      <c r="I181" s="2320" t="s">
        <v>109</v>
      </c>
      <c r="J181" s="2321" t="n">
        <v>0.0</v>
      </c>
      <c r="K181" s="2322" t="n">
        <v>24.36</v>
      </c>
      <c r="L181" s="2323" t="s">
        <v>167</v>
      </c>
    </row>
    <row r="182" ht="24.75" customHeight="true">
      <c r="A182" s="2324" t="n">
        <v>42365.80412037037</v>
      </c>
      <c r="B182" s="2325" t="n">
        <v>42365.80412037037</v>
      </c>
      <c r="C182" s="2326" t="s">
        <v>284</v>
      </c>
      <c r="D182" s="2327" t="s">
        <v>170</v>
      </c>
      <c r="E182" s="2328" t="s">
        <v>171</v>
      </c>
      <c r="F182" s="2329" t="s">
        <v>172</v>
      </c>
      <c r="G182" s="2330" t="n">
        <v>2.0833333333333335E-4</v>
      </c>
      <c r="H182" s="2331" t="s">
        <v>174</v>
      </c>
      <c r="I182" s="2332" t="s">
        <v>109</v>
      </c>
      <c r="J182" s="2333" t="n">
        <v>0.0</v>
      </c>
      <c r="K182" s="2334" t="n">
        <v>24.36</v>
      </c>
      <c r="L182" s="2335" t="s">
        <v>167</v>
      </c>
    </row>
    <row r="183" ht="24.75" customHeight="true">
      <c r="A183" s="2336" t="n">
        <v>42365.80315972222</v>
      </c>
      <c r="B183" s="2337" t="n">
        <v>42365.80315972222</v>
      </c>
      <c r="C183" s="2338" t="s">
        <v>281</v>
      </c>
      <c r="D183" s="2339" t="s">
        <v>282</v>
      </c>
      <c r="E183" s="2340" t="s">
        <v>183</v>
      </c>
      <c r="F183" s="2341" t="s">
        <v>183</v>
      </c>
      <c r="G183" s="2342" t="n">
        <v>3.472222222222222E-5</v>
      </c>
      <c r="H183" s="2343" t="s">
        <v>174</v>
      </c>
      <c r="I183" s="2344" t="s">
        <v>109</v>
      </c>
      <c r="J183" s="2345" t="n">
        <v>0.0</v>
      </c>
      <c r="K183" s="2346" t="n">
        <v>24.36</v>
      </c>
      <c r="L183" s="2347" t="s">
        <v>167</v>
      </c>
    </row>
    <row r="184" ht="24.75" customHeight="true">
      <c r="A184" s="2348" t="n">
        <v>42365.80315972222</v>
      </c>
      <c r="B184" s="2349" t="n">
        <v>42365.80315972222</v>
      </c>
      <c r="C184" s="2350" t="s">
        <v>284</v>
      </c>
      <c r="D184" s="2351" t="s">
        <v>170</v>
      </c>
      <c r="E184" s="2352" t="s">
        <v>171</v>
      </c>
      <c r="F184" s="2353" t="s">
        <v>172</v>
      </c>
      <c r="G184" s="2354" t="n">
        <v>3.472222222222222E-5</v>
      </c>
      <c r="H184" s="2355" t="s">
        <v>174</v>
      </c>
      <c r="I184" s="2356" t="s">
        <v>109</v>
      </c>
      <c r="J184" s="2357" t="n">
        <v>0.0</v>
      </c>
      <c r="K184" s="2358" t="n">
        <v>24.36</v>
      </c>
      <c r="L184" s="2359" t="s">
        <v>167</v>
      </c>
    </row>
    <row r="185" ht="24.75" customHeight="true">
      <c r="A185" s="2360" t="n">
        <v>42365.66087962963</v>
      </c>
      <c r="B185" s="2361" t="n">
        <v>42365.66087962963</v>
      </c>
      <c r="C185" s="2362" t="s">
        <v>281</v>
      </c>
      <c r="D185" s="2363" t="s">
        <v>282</v>
      </c>
      <c r="E185" s="2364" t="s">
        <v>183</v>
      </c>
      <c r="F185" s="2365" t="s">
        <v>183</v>
      </c>
      <c r="G185" s="2366" t="n">
        <v>1.1574074074074073E-5</v>
      </c>
      <c r="H185" s="2367" t="s">
        <v>174</v>
      </c>
      <c r="I185" s="2368" t="s">
        <v>109</v>
      </c>
      <c r="J185" s="2369" t="n">
        <v>0.0</v>
      </c>
      <c r="K185" s="2370" t="n">
        <v>24.36</v>
      </c>
      <c r="L185" s="2371" t="s">
        <v>167</v>
      </c>
    </row>
    <row r="186" ht="24.75" customHeight="true">
      <c r="A186" s="2372" t="n">
        <v>42365.66087962963</v>
      </c>
      <c r="B186" s="2373" t="n">
        <v>42365.66087962963</v>
      </c>
      <c r="C186" s="2374" t="s">
        <v>284</v>
      </c>
      <c r="D186" s="2375" t="s">
        <v>170</v>
      </c>
      <c r="E186" s="2376" t="s">
        <v>171</v>
      </c>
      <c r="F186" s="2377" t="s">
        <v>172</v>
      </c>
      <c r="G186" s="2378" t="n">
        <v>1.1574074074074073E-5</v>
      </c>
      <c r="H186" s="2379" t="s">
        <v>174</v>
      </c>
      <c r="I186" s="2380" t="s">
        <v>109</v>
      </c>
      <c r="J186" s="2381" t="n">
        <v>0.0</v>
      </c>
      <c r="K186" s="2382" t="n">
        <v>24.36</v>
      </c>
      <c r="L186" s="2383" t="s">
        <v>167</v>
      </c>
    </row>
    <row r="187" ht="24.75" customHeight="true">
      <c r="A187" s="2384" t="n">
        <v>42365.66025462963</v>
      </c>
      <c r="B187" s="2385" t="n">
        <v>42365.66025462963</v>
      </c>
      <c r="C187" s="2386" t="s">
        <v>281</v>
      </c>
      <c r="D187" s="2387" t="s">
        <v>282</v>
      </c>
      <c r="E187" s="2388" t="s">
        <v>183</v>
      </c>
      <c r="F187" s="2389" t="s">
        <v>183</v>
      </c>
      <c r="G187" s="2390" t="n">
        <v>1.1574074074074073E-5</v>
      </c>
      <c r="H187" s="2391" t="s">
        <v>174</v>
      </c>
      <c r="I187" s="2392" t="s">
        <v>109</v>
      </c>
      <c r="J187" s="2393" t="n">
        <v>0.0</v>
      </c>
      <c r="K187" s="2394" t="n">
        <v>24.36</v>
      </c>
      <c r="L187" s="2395" t="s">
        <v>167</v>
      </c>
    </row>
    <row r="188" ht="24.75" customHeight="true">
      <c r="A188" s="2396" t="n">
        <v>42365.66025462963</v>
      </c>
      <c r="B188" s="2397" t="n">
        <v>42365.66025462963</v>
      </c>
      <c r="C188" s="2398" t="s">
        <v>284</v>
      </c>
      <c r="D188" s="2399" t="s">
        <v>170</v>
      </c>
      <c r="E188" s="2400" t="s">
        <v>171</v>
      </c>
      <c r="F188" s="2401" t="s">
        <v>172</v>
      </c>
      <c r="G188" s="2402" t="n">
        <v>1.1574074074074073E-5</v>
      </c>
      <c r="H188" s="2403" t="s">
        <v>174</v>
      </c>
      <c r="I188" s="2404" t="s">
        <v>109</v>
      </c>
      <c r="J188" s="2405" t="n">
        <v>0.0</v>
      </c>
      <c r="K188" s="2406" t="n">
        <v>24.36</v>
      </c>
      <c r="L188" s="2407" t="s">
        <v>167</v>
      </c>
    </row>
    <row r="189" ht="24.75" customHeight="true">
      <c r="A189" s="2408" t="n">
        <v>42365.65954861111</v>
      </c>
      <c r="B189" s="2409" t="n">
        <v>42365.65954861111</v>
      </c>
      <c r="C189" s="2410" t="s">
        <v>281</v>
      </c>
      <c r="D189" s="2411" t="s">
        <v>282</v>
      </c>
      <c r="E189" s="2412" t="s">
        <v>183</v>
      </c>
      <c r="F189" s="2413" t="s">
        <v>183</v>
      </c>
      <c r="G189" s="2414" t="n">
        <v>8.101851851851852E-5</v>
      </c>
      <c r="H189" s="2415" t="s">
        <v>174</v>
      </c>
      <c r="I189" s="2416" t="s">
        <v>109</v>
      </c>
      <c r="J189" s="2417" t="n">
        <v>0.0</v>
      </c>
      <c r="K189" s="2418" t="n">
        <v>24.36</v>
      </c>
      <c r="L189" s="2419" t="s">
        <v>167</v>
      </c>
    </row>
    <row r="190" ht="24.75" customHeight="true">
      <c r="A190" s="2420" t="n">
        <v>42365.65954861111</v>
      </c>
      <c r="B190" s="2421" t="n">
        <v>42365.65954861111</v>
      </c>
      <c r="C190" s="2422" t="s">
        <v>284</v>
      </c>
      <c r="D190" s="2423" t="s">
        <v>170</v>
      </c>
      <c r="E190" s="2424" t="s">
        <v>171</v>
      </c>
      <c r="F190" s="2425" t="s">
        <v>172</v>
      </c>
      <c r="G190" s="2426" t="n">
        <v>8.101851851851852E-5</v>
      </c>
      <c r="H190" s="2427" t="s">
        <v>174</v>
      </c>
      <c r="I190" s="2428" t="s">
        <v>109</v>
      </c>
      <c r="J190" s="2429" t="n">
        <v>0.0</v>
      </c>
      <c r="K190" s="2430" t="n">
        <v>24.36</v>
      </c>
      <c r="L190" s="2431" t="s">
        <v>167</v>
      </c>
    </row>
    <row r="191" ht="24.75" customHeight="true">
      <c r="A191" s="2432" t="n">
        <v>42365.658680555556</v>
      </c>
      <c r="B191" s="2433" t="n">
        <v>42365.658680555556</v>
      </c>
      <c r="C191" s="2434" t="s">
        <v>281</v>
      </c>
      <c r="D191" s="2435" t="s">
        <v>282</v>
      </c>
      <c r="E191" s="2436" t="s">
        <v>183</v>
      </c>
      <c r="F191" s="2437" t="s">
        <v>183</v>
      </c>
      <c r="G191" s="2438" t="n">
        <v>2.4305555555555555E-4</v>
      </c>
      <c r="H191" s="2439" t="s">
        <v>174</v>
      </c>
      <c r="I191" s="2440" t="s">
        <v>109</v>
      </c>
      <c r="J191" s="2441" t="n">
        <v>0.0</v>
      </c>
      <c r="K191" s="2442" t="n">
        <v>24.36</v>
      </c>
      <c r="L191" s="2443" t="s">
        <v>167</v>
      </c>
    </row>
    <row r="192" ht="24.75" customHeight="true">
      <c r="A192" s="2444" t="n">
        <v>42365.658680555556</v>
      </c>
      <c r="B192" s="2445" t="n">
        <v>42365.658680555556</v>
      </c>
      <c r="C192" s="2446" t="s">
        <v>284</v>
      </c>
      <c r="D192" s="2447" t="s">
        <v>170</v>
      </c>
      <c r="E192" s="2448" t="s">
        <v>171</v>
      </c>
      <c r="F192" s="2449" t="s">
        <v>172</v>
      </c>
      <c r="G192" s="2450" t="n">
        <v>2.4305555555555555E-4</v>
      </c>
      <c r="H192" s="2451" t="s">
        <v>174</v>
      </c>
      <c r="I192" s="2452" t="s">
        <v>109</v>
      </c>
      <c r="J192" s="2453" t="n">
        <v>0.0</v>
      </c>
      <c r="K192" s="2454" t="n">
        <v>24.36</v>
      </c>
      <c r="L192" s="2455" t="s">
        <v>167</v>
      </c>
    </row>
    <row r="193" ht="24.75" customHeight="true">
      <c r="A193" s="2456" t="n">
        <v>42365.65414351852</v>
      </c>
      <c r="B193" s="2457" t="n">
        <v>42365.65414351852</v>
      </c>
      <c r="C193" s="2458" t="s">
        <v>169</v>
      </c>
      <c r="D193" s="2459" t="s">
        <v>170</v>
      </c>
      <c r="E193" s="2460" t="s">
        <v>171</v>
      </c>
      <c r="F193" s="2461" t="s">
        <v>172</v>
      </c>
      <c r="G193" s="2462" t="n">
        <v>4.166666666666667E-4</v>
      </c>
      <c r="H193" s="2463" t="s">
        <v>174</v>
      </c>
      <c r="I193" s="2464" t="s">
        <v>109</v>
      </c>
      <c r="J193" s="2465" t="n">
        <v>0.0</v>
      </c>
      <c r="K193" s="2466" t="n">
        <v>24.36</v>
      </c>
      <c r="L193" s="2467" t="s">
        <v>167</v>
      </c>
    </row>
    <row r="194" ht="24.75" customHeight="true">
      <c r="A194" s="2468" t="n">
        <v>42365.61158564815</v>
      </c>
      <c r="B194" s="2469" t="n">
        <v>42365.61158564815</v>
      </c>
      <c r="C194" s="2470" t="s">
        <v>281</v>
      </c>
      <c r="D194" s="2471" t="s">
        <v>282</v>
      </c>
      <c r="E194" s="2472" t="s">
        <v>183</v>
      </c>
      <c r="F194" s="2473" t="s">
        <v>183</v>
      </c>
      <c r="G194" s="2474" t="n">
        <v>1.6203703703703703E-4</v>
      </c>
      <c r="H194" s="2475" t="s">
        <v>174</v>
      </c>
      <c r="I194" s="2476" t="s">
        <v>109</v>
      </c>
      <c r="J194" s="2477" t="n">
        <v>0.0</v>
      </c>
      <c r="K194" s="2478" t="n">
        <v>24.36</v>
      </c>
      <c r="L194" s="2479" t="s">
        <v>167</v>
      </c>
    </row>
    <row r="195" ht="24.75" customHeight="true">
      <c r="A195" s="2480" t="n">
        <v>42365.61158564815</v>
      </c>
      <c r="B195" s="2481" t="n">
        <v>42365.61158564815</v>
      </c>
      <c r="C195" s="2482" t="s">
        <v>284</v>
      </c>
      <c r="D195" s="2483" t="s">
        <v>303</v>
      </c>
      <c r="E195" s="2484" t="s">
        <v>304</v>
      </c>
      <c r="F195" s="2485" t="s">
        <v>172</v>
      </c>
      <c r="G195" s="2486" t="n">
        <v>1.6203703703703703E-4</v>
      </c>
      <c r="H195" s="2487" t="s">
        <v>174</v>
      </c>
      <c r="I195" s="2488" t="s">
        <v>109</v>
      </c>
      <c r="J195" s="2489" t="n">
        <v>0.0</v>
      </c>
      <c r="K195" s="2490" t="n">
        <v>24.36</v>
      </c>
      <c r="L195" s="2491" t="s">
        <v>167</v>
      </c>
    </row>
    <row r="196" ht="24.75" customHeight="true">
      <c r="A196" s="2492" t="n">
        <v>42365.584328703706</v>
      </c>
      <c r="B196" s="2493" t="n">
        <v>42365.584328703706</v>
      </c>
      <c r="C196" s="2494" t="s">
        <v>281</v>
      </c>
      <c r="D196" s="2495" t="s">
        <v>282</v>
      </c>
      <c r="E196" s="2496" t="s">
        <v>183</v>
      </c>
      <c r="F196" s="2497" t="s">
        <v>183</v>
      </c>
      <c r="G196" s="2498" t="n">
        <v>3.472222222222222E-5</v>
      </c>
      <c r="H196" s="2499" t="s">
        <v>174</v>
      </c>
      <c r="I196" s="2500" t="s">
        <v>109</v>
      </c>
      <c r="J196" s="2501" t="n">
        <v>0.0</v>
      </c>
      <c r="K196" s="2502" t="n">
        <v>24.36</v>
      </c>
      <c r="L196" s="2503" t="s">
        <v>167</v>
      </c>
    </row>
    <row r="197" ht="24.75" customHeight="true">
      <c r="A197" s="2504" t="n">
        <v>42365.584328703706</v>
      </c>
      <c r="B197" s="2505" t="n">
        <v>42365.584328703706</v>
      </c>
      <c r="C197" s="2506" t="s">
        <v>284</v>
      </c>
      <c r="D197" s="2507" t="s">
        <v>303</v>
      </c>
      <c r="E197" s="2508" t="s">
        <v>304</v>
      </c>
      <c r="F197" s="2509" t="s">
        <v>172</v>
      </c>
      <c r="G197" s="2510" t="n">
        <v>3.472222222222222E-5</v>
      </c>
      <c r="H197" s="2511" t="s">
        <v>174</v>
      </c>
      <c r="I197" s="2512" t="s">
        <v>109</v>
      </c>
      <c r="J197" s="2513" t="n">
        <v>0.0</v>
      </c>
      <c r="K197" s="2514" t="n">
        <v>24.36</v>
      </c>
      <c r="L197" s="2515" t="s">
        <v>167</v>
      </c>
    </row>
    <row r="198" ht="24.75" customHeight="true">
      <c r="A198" s="2516" t="n">
        <v>42365.56134259259</v>
      </c>
      <c r="B198" s="2517" t="n">
        <v>42365.56134259259</v>
      </c>
      <c r="C198" s="2518" t="s">
        <v>281</v>
      </c>
      <c r="D198" s="2519" t="s">
        <v>282</v>
      </c>
      <c r="E198" s="2520" t="s">
        <v>183</v>
      </c>
      <c r="F198" s="2521" t="s">
        <v>183</v>
      </c>
      <c r="G198" s="2522" t="n">
        <v>1.388888888888889E-4</v>
      </c>
      <c r="H198" s="2523" t="s">
        <v>174</v>
      </c>
      <c r="I198" s="2524" t="s">
        <v>109</v>
      </c>
      <c r="J198" s="2525" t="n">
        <v>0.0</v>
      </c>
      <c r="K198" s="2526" t="n">
        <v>24.36</v>
      </c>
      <c r="L198" s="2527" t="s">
        <v>167</v>
      </c>
    </row>
    <row r="199" ht="24.75" customHeight="true">
      <c r="A199" s="2528" t="n">
        <v>42365.56134259259</v>
      </c>
      <c r="B199" s="2529" t="n">
        <v>42365.56134259259</v>
      </c>
      <c r="C199" s="2530" t="s">
        <v>284</v>
      </c>
      <c r="D199" s="2531" t="s">
        <v>303</v>
      </c>
      <c r="E199" s="2532" t="s">
        <v>304</v>
      </c>
      <c r="F199" s="2533" t="s">
        <v>172</v>
      </c>
      <c r="G199" s="2534" t="n">
        <v>1.388888888888889E-4</v>
      </c>
      <c r="H199" s="2535" t="s">
        <v>174</v>
      </c>
      <c r="I199" s="2536" t="s">
        <v>109</v>
      </c>
      <c r="J199" s="2537" t="n">
        <v>0.0</v>
      </c>
      <c r="K199" s="2538" t="n">
        <v>24.36</v>
      </c>
      <c r="L199" s="2539" t="s">
        <v>167</v>
      </c>
    </row>
    <row r="200" ht="24.75" customHeight="true">
      <c r="A200" s="2540" t="n">
        <v>42365.51547453704</v>
      </c>
      <c r="B200" s="2541" t="n">
        <v>42365.51547453704</v>
      </c>
      <c r="C200" s="2542" t="s">
        <v>169</v>
      </c>
      <c r="D200" s="2543" t="s">
        <v>303</v>
      </c>
      <c r="E200" s="2544" t="s">
        <v>304</v>
      </c>
      <c r="F200" s="2545" t="s">
        <v>172</v>
      </c>
      <c r="G200" s="2546" t="n">
        <v>2.199074074074074E-4</v>
      </c>
      <c r="H200" s="2547" t="s">
        <v>174</v>
      </c>
      <c r="I200" s="2548" t="s">
        <v>109</v>
      </c>
      <c r="J200" s="2549" t="n">
        <v>0.0</v>
      </c>
      <c r="K200" s="2550" t="n">
        <v>24.36</v>
      </c>
      <c r="L200" s="2551" t="s">
        <v>167</v>
      </c>
    </row>
    <row r="201" ht="24.75" customHeight="true">
      <c r="A201" s="2552" t="n">
        <v>42365.1165625</v>
      </c>
      <c r="B201" s="2553" t="n">
        <v>42365.1165625</v>
      </c>
      <c r="C201" s="2554" t="s">
        <v>231</v>
      </c>
      <c r="D201" s="2555" t="s">
        <v>205</v>
      </c>
      <c r="E201" s="2556" t="s">
        <v>183</v>
      </c>
      <c r="F201" s="2557" t="s">
        <v>183</v>
      </c>
      <c r="G201" s="2558" t="s">
        <v>206</v>
      </c>
      <c r="H201" s="2559" t="s">
        <v>183</v>
      </c>
      <c r="I201" s="2560" t="s">
        <v>109</v>
      </c>
      <c r="J201" s="2561" t="n">
        <v>-5.0</v>
      </c>
      <c r="K201" s="2562" t="n">
        <v>24.36</v>
      </c>
      <c r="L201" s="2563" t="s">
        <v>167</v>
      </c>
    </row>
    <row r="202" ht="24.75" customHeight="true">
      <c r="A202" s="2564" t="n">
        <v>42364.79908564815</v>
      </c>
      <c r="B202" s="2565" t="n">
        <v>42364.79908564815</v>
      </c>
      <c r="C202" s="2566" t="s">
        <v>169</v>
      </c>
      <c r="D202" s="2567" t="s">
        <v>170</v>
      </c>
      <c r="E202" s="2568" t="s">
        <v>171</v>
      </c>
      <c r="F202" s="2569" t="s">
        <v>172</v>
      </c>
      <c r="G202" s="2570" t="n">
        <v>2.0833333333333335E-4</v>
      </c>
      <c r="H202" s="2571" t="s">
        <v>174</v>
      </c>
      <c r="I202" s="2572" t="s">
        <v>109</v>
      </c>
      <c r="J202" s="2573" t="n">
        <v>0.0</v>
      </c>
      <c r="K202" s="2574" t="n">
        <v>29.36</v>
      </c>
      <c r="L202" s="2575" t="s">
        <v>167</v>
      </c>
    </row>
    <row r="203" ht="24.75" customHeight="true">
      <c r="A203" s="2576" t="n">
        <v>42364.68517361111</v>
      </c>
      <c r="B203" s="2577" t="n">
        <v>42364.68517361111</v>
      </c>
      <c r="C203" s="2578" t="s">
        <v>209</v>
      </c>
      <c r="D203" s="2579" t="s">
        <v>276</v>
      </c>
      <c r="E203" s="2580" t="s">
        <v>277</v>
      </c>
      <c r="F203" s="2581" t="s">
        <v>172</v>
      </c>
      <c r="G203" s="2582" t="n">
        <v>0.003993055555555555</v>
      </c>
      <c r="H203" s="2583" t="s">
        <v>174</v>
      </c>
      <c r="I203" s="2584" t="s">
        <v>109</v>
      </c>
      <c r="J203" s="2585" t="n">
        <v>-6.0</v>
      </c>
      <c r="K203" s="2586" t="n">
        <v>29.36</v>
      </c>
      <c r="L203" s="2587" t="s">
        <v>167</v>
      </c>
    </row>
    <row r="204" ht="24.75" customHeight="true">
      <c r="A204" s="2588" t="n">
        <v>42364.54976851852</v>
      </c>
      <c r="B204" s="2589" t="n">
        <v>42364.54976851852</v>
      </c>
      <c r="C204" s="2590" t="s">
        <v>281</v>
      </c>
      <c r="D204" s="2591" t="s">
        <v>282</v>
      </c>
      <c r="E204" s="2592" t="s">
        <v>183</v>
      </c>
      <c r="F204" s="2593" t="s">
        <v>183</v>
      </c>
      <c r="G204" s="2594" t="n">
        <v>5.092592592592592E-4</v>
      </c>
      <c r="H204" s="2595" t="s">
        <v>174</v>
      </c>
      <c r="I204" s="2596" t="s">
        <v>109</v>
      </c>
      <c r="J204" s="2597" t="n">
        <v>0.0</v>
      </c>
      <c r="K204" s="2598" t="n">
        <v>35.36</v>
      </c>
      <c r="L204" s="2599" t="s">
        <v>167</v>
      </c>
    </row>
    <row r="205" ht="24.75" customHeight="true">
      <c r="A205" s="2600" t="n">
        <v>42364.54976851852</v>
      </c>
      <c r="B205" s="2601" t="n">
        <v>42364.54976851852</v>
      </c>
      <c r="C205" s="2602" t="s">
        <v>284</v>
      </c>
      <c r="D205" s="2603" t="s">
        <v>292</v>
      </c>
      <c r="E205" s="2604" t="s">
        <v>277</v>
      </c>
      <c r="F205" s="2605" t="s">
        <v>287</v>
      </c>
      <c r="G205" s="2606" t="n">
        <v>5.092592592592592E-4</v>
      </c>
      <c r="H205" s="2607" t="s">
        <v>174</v>
      </c>
      <c r="I205" s="2608" t="s">
        <v>109</v>
      </c>
      <c r="J205" s="2609" t="n">
        <v>0.0</v>
      </c>
      <c r="K205" s="2610" t="n">
        <v>35.36</v>
      </c>
      <c r="L205" s="2611" t="s">
        <v>167</v>
      </c>
    </row>
    <row r="206" ht="24.75" customHeight="true">
      <c r="A206" s="2612" t="n">
        <v>42364.112708333334</v>
      </c>
      <c r="B206" s="2613" t="n">
        <v>42364.112708333334</v>
      </c>
      <c r="C206" s="2614" t="s">
        <v>231</v>
      </c>
      <c r="D206" s="2615" t="s">
        <v>205</v>
      </c>
      <c r="E206" s="2616" t="s">
        <v>183</v>
      </c>
      <c r="F206" s="2617" t="s">
        <v>183</v>
      </c>
      <c r="G206" s="2618" t="s">
        <v>206</v>
      </c>
      <c r="H206" s="2619" t="s">
        <v>183</v>
      </c>
      <c r="I206" s="2620" t="s">
        <v>109</v>
      </c>
      <c r="J206" s="2621" t="n">
        <v>-5.0</v>
      </c>
      <c r="K206" s="2622" t="n">
        <v>35.36</v>
      </c>
      <c r="L206" s="2623" t="s">
        <v>167</v>
      </c>
    </row>
    <row r="207" ht="24.75" customHeight="true">
      <c r="A207" s="2624" t="n">
        <v>42363.812893518516</v>
      </c>
      <c r="B207" s="2625" t="n">
        <v>42363.812893518516</v>
      </c>
      <c r="C207" s="2626" t="s">
        <v>169</v>
      </c>
      <c r="D207" s="2627" t="s">
        <v>186</v>
      </c>
      <c r="E207" s="2628" t="s">
        <v>171</v>
      </c>
      <c r="F207" s="2629" t="s">
        <v>172</v>
      </c>
      <c r="G207" s="2630" t="n">
        <v>0.0025810185185185185</v>
      </c>
      <c r="H207" s="2631" t="s">
        <v>174</v>
      </c>
      <c r="I207" s="2632" t="s">
        <v>109</v>
      </c>
      <c r="J207" s="2633" t="n">
        <v>0.0</v>
      </c>
      <c r="K207" s="2634" t="n">
        <v>40.36</v>
      </c>
      <c r="L207" s="2635" t="s">
        <v>167</v>
      </c>
    </row>
    <row r="208" ht="24.75" customHeight="true">
      <c r="A208" s="2636" t="n">
        <v>42363.6584375</v>
      </c>
      <c r="B208" s="2637" t="n">
        <v>42363.6584375</v>
      </c>
      <c r="C208" s="2638" t="s">
        <v>281</v>
      </c>
      <c r="D208" s="2639" t="s">
        <v>282</v>
      </c>
      <c r="E208" s="2640" t="s">
        <v>183</v>
      </c>
      <c r="F208" s="2641" t="s">
        <v>183</v>
      </c>
      <c r="G208" s="2642" t="n">
        <v>3.472222222222222E-5</v>
      </c>
      <c r="H208" s="2643" t="s">
        <v>174</v>
      </c>
      <c r="I208" s="2644" t="s">
        <v>109</v>
      </c>
      <c r="J208" s="2645" t="n">
        <v>0.0</v>
      </c>
      <c r="K208" s="2646" t="n">
        <v>40.36</v>
      </c>
      <c r="L208" s="2647" t="s">
        <v>167</v>
      </c>
    </row>
    <row r="209" ht="24.75" customHeight="true">
      <c r="A209" s="2648" t="n">
        <v>42363.6584375</v>
      </c>
      <c r="B209" s="2649" t="n">
        <v>42363.6584375</v>
      </c>
      <c r="C209" s="2650" t="s">
        <v>284</v>
      </c>
      <c r="D209" s="2651" t="s">
        <v>186</v>
      </c>
      <c r="E209" s="2652" t="s">
        <v>171</v>
      </c>
      <c r="F209" s="2653" t="s">
        <v>172</v>
      </c>
      <c r="G209" s="2654" t="n">
        <v>3.472222222222222E-5</v>
      </c>
      <c r="H209" s="2655" t="s">
        <v>174</v>
      </c>
      <c r="I209" s="2656" t="s">
        <v>109</v>
      </c>
      <c r="J209" s="2657" t="n">
        <v>0.0</v>
      </c>
      <c r="K209" s="2658" t="n">
        <v>40.36</v>
      </c>
      <c r="L209" s="2659" t="s">
        <v>167</v>
      </c>
    </row>
    <row r="210" ht="24.75" customHeight="true">
      <c r="A210" s="2660" t="n">
        <v>42363.615069444444</v>
      </c>
      <c r="B210" s="2661" t="n">
        <v>42363.615069444444</v>
      </c>
      <c r="C210" s="2662" t="s">
        <v>169</v>
      </c>
      <c r="D210" s="2663" t="s">
        <v>170</v>
      </c>
      <c r="E210" s="2664" t="s">
        <v>171</v>
      </c>
      <c r="F210" s="2665" t="s">
        <v>172</v>
      </c>
      <c r="G210" s="2666" t="n">
        <v>5.787037037037037E-4</v>
      </c>
      <c r="H210" s="2667" t="s">
        <v>174</v>
      </c>
      <c r="I210" s="2668" t="s">
        <v>109</v>
      </c>
      <c r="J210" s="2669" t="n">
        <v>0.0</v>
      </c>
      <c r="K210" s="2670" t="n">
        <v>40.36</v>
      </c>
      <c r="L210" s="2671" t="s">
        <v>167</v>
      </c>
    </row>
    <row r="211" ht="24.75" customHeight="true">
      <c r="A211" s="2672" t="n">
        <v>42363.593136574076</v>
      </c>
      <c r="B211" s="2673" t="n">
        <v>42363.593136574076</v>
      </c>
      <c r="C211" s="2674" t="s">
        <v>169</v>
      </c>
      <c r="D211" s="2675" t="s">
        <v>292</v>
      </c>
      <c r="E211" s="2676" t="s">
        <v>277</v>
      </c>
      <c r="F211" s="2677" t="s">
        <v>287</v>
      </c>
      <c r="G211" s="2678" t="n">
        <v>2.3148148148148147E-5</v>
      </c>
      <c r="H211" s="2679" t="s">
        <v>174</v>
      </c>
      <c r="I211" s="2680" t="s">
        <v>109</v>
      </c>
      <c r="J211" s="2681" t="n">
        <v>0.0</v>
      </c>
      <c r="K211" s="2682" t="n">
        <v>40.36</v>
      </c>
      <c r="L211" s="2683" t="s">
        <v>167</v>
      </c>
    </row>
    <row r="212" ht="24.75" customHeight="true">
      <c r="A212" s="2684" t="n">
        <v>42363.560625</v>
      </c>
      <c r="B212" s="2685" t="n">
        <v>42363.560625</v>
      </c>
      <c r="C212" s="2686" t="s">
        <v>169</v>
      </c>
      <c r="D212" s="2687" t="s">
        <v>170</v>
      </c>
      <c r="E212" s="2688" t="s">
        <v>171</v>
      </c>
      <c r="F212" s="2689" t="s">
        <v>172</v>
      </c>
      <c r="G212" s="2690" t="n">
        <v>3.587962962962963E-4</v>
      </c>
      <c r="H212" s="2691" t="s">
        <v>174</v>
      </c>
      <c r="I212" s="2692" t="s">
        <v>109</v>
      </c>
      <c r="J212" s="2693" t="n">
        <v>0.0</v>
      </c>
      <c r="K212" s="2694" t="n">
        <v>40.36</v>
      </c>
      <c r="L212" s="2695" t="s">
        <v>167</v>
      </c>
    </row>
    <row r="213" ht="24.75" customHeight="true">
      <c r="A213" s="2696" t="n">
        <v>42363.417662037034</v>
      </c>
      <c r="B213" s="2697" t="n">
        <v>42363.417662037034</v>
      </c>
      <c r="C213" s="2698" t="s">
        <v>209</v>
      </c>
      <c r="D213" s="2699" t="s">
        <v>186</v>
      </c>
      <c r="E213" s="2700" t="s">
        <v>171</v>
      </c>
      <c r="F213" s="2701" t="s">
        <v>172</v>
      </c>
      <c r="G213" s="2702" t="n">
        <v>0.001261574074074074</v>
      </c>
      <c r="H213" s="2703" t="s">
        <v>174</v>
      </c>
      <c r="I213" s="2704" t="s">
        <v>109</v>
      </c>
      <c r="J213" s="2705" t="n">
        <v>0.0</v>
      </c>
      <c r="K213" s="2706" t="n">
        <v>40.36</v>
      </c>
      <c r="L213" s="2707" t="s">
        <v>167</v>
      </c>
    </row>
    <row r="214" ht="24.75" customHeight="true">
      <c r="A214" s="2708" t="n">
        <v>42363.1175</v>
      </c>
      <c r="B214" s="2709" t="n">
        <v>42363.1175</v>
      </c>
      <c r="C214" s="2710" t="s">
        <v>231</v>
      </c>
      <c r="D214" s="2711" t="s">
        <v>205</v>
      </c>
      <c r="E214" s="2712" t="s">
        <v>183</v>
      </c>
      <c r="F214" s="2713" t="s">
        <v>183</v>
      </c>
      <c r="G214" s="2714" t="s">
        <v>206</v>
      </c>
      <c r="H214" s="2715" t="s">
        <v>183</v>
      </c>
      <c r="I214" s="2716" t="s">
        <v>109</v>
      </c>
      <c r="J214" s="2717" t="n">
        <v>-5.0</v>
      </c>
      <c r="K214" s="2718" t="n">
        <v>40.36</v>
      </c>
      <c r="L214" s="2719" t="s">
        <v>167</v>
      </c>
    </row>
    <row r="215" ht="24.75" customHeight="true">
      <c r="A215" s="2720" t="n">
        <v>42362.88704861111</v>
      </c>
      <c r="B215" s="2721" t="n">
        <v>42362.88704861111</v>
      </c>
      <c r="C215" s="2722" t="s">
        <v>281</v>
      </c>
      <c r="D215" s="2723" t="s">
        <v>282</v>
      </c>
      <c r="E215" s="2724" t="s">
        <v>183</v>
      </c>
      <c r="F215" s="2725" t="s">
        <v>183</v>
      </c>
      <c r="G215" s="2726" t="n">
        <v>5.092592592592592E-4</v>
      </c>
      <c r="H215" s="2727" t="s">
        <v>174</v>
      </c>
      <c r="I215" s="2728" t="s">
        <v>109</v>
      </c>
      <c r="J215" s="2729" t="n">
        <v>0.0</v>
      </c>
      <c r="K215" s="2730" t="n">
        <v>45.36</v>
      </c>
      <c r="L215" s="2731" t="s">
        <v>167</v>
      </c>
    </row>
    <row r="216" ht="24.75" customHeight="true">
      <c r="A216" s="2732" t="n">
        <v>42362.88704861111</v>
      </c>
      <c r="B216" s="2733" t="n">
        <v>42362.88704861111</v>
      </c>
      <c r="C216" s="2734" t="s">
        <v>284</v>
      </c>
      <c r="D216" s="2735" t="s">
        <v>292</v>
      </c>
      <c r="E216" s="2736" t="s">
        <v>277</v>
      </c>
      <c r="F216" s="2737" t="s">
        <v>287</v>
      </c>
      <c r="G216" s="2738" t="n">
        <v>5.092592592592592E-4</v>
      </c>
      <c r="H216" s="2739" t="s">
        <v>174</v>
      </c>
      <c r="I216" s="2740" t="s">
        <v>109</v>
      </c>
      <c r="J216" s="2741" t="n">
        <v>0.0</v>
      </c>
      <c r="K216" s="2742" t="n">
        <v>45.36</v>
      </c>
      <c r="L216" s="2743" t="s">
        <v>167</v>
      </c>
    </row>
    <row r="217" ht="24.75" customHeight="true">
      <c r="A217" s="2744" t="n">
        <v>42362.83521990741</v>
      </c>
      <c r="B217" s="2745" t="n">
        <v>42362.83521990741</v>
      </c>
      <c r="C217" s="2746" t="s">
        <v>169</v>
      </c>
      <c r="D217" s="2747" t="s">
        <v>170</v>
      </c>
      <c r="E217" s="2748" t="s">
        <v>171</v>
      </c>
      <c r="F217" s="2749" t="s">
        <v>172</v>
      </c>
      <c r="G217" s="2750" t="n">
        <v>5.555555555555556E-4</v>
      </c>
      <c r="H217" s="2751" t="s">
        <v>174</v>
      </c>
      <c r="I217" s="2752" t="s">
        <v>109</v>
      </c>
      <c r="J217" s="2753" t="n">
        <v>0.0</v>
      </c>
      <c r="K217" s="2754" t="n">
        <v>45.36</v>
      </c>
      <c r="L217" s="2755" t="s">
        <v>167</v>
      </c>
    </row>
    <row r="218" ht="24.75" customHeight="true">
      <c r="A218" s="2756" t="n">
        <v>42362.746469907404</v>
      </c>
      <c r="B218" s="2757" t="n">
        <v>42362.746469907404</v>
      </c>
      <c r="C218" s="2758" t="s">
        <v>169</v>
      </c>
      <c r="D218" s="2759" t="s">
        <v>170</v>
      </c>
      <c r="E218" s="2760" t="s">
        <v>171</v>
      </c>
      <c r="F218" s="2761" t="s">
        <v>172</v>
      </c>
      <c r="G218" s="2762" t="n">
        <v>0.0021064814814814813</v>
      </c>
      <c r="H218" s="2763" t="s">
        <v>174</v>
      </c>
      <c r="I218" s="2764" t="s">
        <v>109</v>
      </c>
      <c r="J218" s="2765" t="n">
        <v>0.0</v>
      </c>
      <c r="K218" s="2766" t="n">
        <v>45.36</v>
      </c>
      <c r="L218" s="2767" t="s">
        <v>167</v>
      </c>
    </row>
    <row r="219" ht="24.75" customHeight="true">
      <c r="A219" s="2768" t="n">
        <v>42362.727476851855</v>
      </c>
      <c r="B219" s="2769" t="n">
        <v>42362.727476851855</v>
      </c>
      <c r="C219" s="2770" t="s">
        <v>126</v>
      </c>
      <c r="D219" s="2771" t="s">
        <v>205</v>
      </c>
      <c r="E219" s="2772" t="s">
        <v>183</v>
      </c>
      <c r="F219" s="2773" t="s">
        <v>183</v>
      </c>
      <c r="G219" s="2774" t="n">
        <v>287.0</v>
      </c>
      <c r="H219" s="2775" t="s">
        <v>218</v>
      </c>
      <c r="I219" s="2776" t="s">
        <v>109</v>
      </c>
      <c r="J219" s="2777" t="n">
        <v>0.0</v>
      </c>
      <c r="K219" s="2778" t="s">
        <v>206</v>
      </c>
      <c r="L219" s="2779" t="s">
        <v>167</v>
      </c>
    </row>
    <row r="220" ht="24.75" customHeight="true">
      <c r="A220" s="2780" t="n">
        <v>42362.70868055556</v>
      </c>
      <c r="B220" s="2781" t="n">
        <v>42362.70868055556</v>
      </c>
      <c r="C220" s="2782" t="s">
        <v>231</v>
      </c>
      <c r="D220" s="2783" t="s">
        <v>205</v>
      </c>
      <c r="E220" s="2784" t="s">
        <v>183</v>
      </c>
      <c r="F220" s="2785" t="s">
        <v>183</v>
      </c>
      <c r="G220" s="2786" t="s">
        <v>206</v>
      </c>
      <c r="H220" s="2787" t="s">
        <v>183</v>
      </c>
      <c r="I220" s="2788" t="s">
        <v>109</v>
      </c>
      <c r="J220" s="2789" t="n">
        <v>-5.0</v>
      </c>
      <c r="K220" s="2790" t="n">
        <v>45.36</v>
      </c>
      <c r="L220" s="2791" t="s">
        <v>167</v>
      </c>
    </row>
    <row r="221" ht="24.75" customHeight="true">
      <c r="A221" s="2792" t="n">
        <v>42362.70866898148</v>
      </c>
      <c r="B221" s="2793" t="n">
        <v>42362.70866898148</v>
      </c>
      <c r="C221" s="2794" t="s">
        <v>314</v>
      </c>
      <c r="D221" s="2795" t="s">
        <v>205</v>
      </c>
      <c r="E221" s="2796" t="s">
        <v>183</v>
      </c>
      <c r="F221" s="2797" t="s">
        <v>183</v>
      </c>
      <c r="G221" s="2798" t="s">
        <v>206</v>
      </c>
      <c r="H221" s="2799" t="s">
        <v>183</v>
      </c>
      <c r="I221" s="2800" t="s">
        <v>109</v>
      </c>
      <c r="J221" s="2801" t="n">
        <v>100.0</v>
      </c>
      <c r="K221" s="2802" t="n">
        <v>50.36</v>
      </c>
      <c r="L221" s="2803" t="s">
        <v>167</v>
      </c>
    </row>
    <row r="222" ht="24.75" customHeight="true">
      <c r="A222" s="2804" t="n">
        <v>42362.70715277778</v>
      </c>
      <c r="B222" s="2805" t="n">
        <v>42362.70715277778</v>
      </c>
      <c r="C222" s="2806" t="s">
        <v>169</v>
      </c>
      <c r="D222" s="2807" t="s">
        <v>261</v>
      </c>
      <c r="E222" s="2808" t="s">
        <v>262</v>
      </c>
      <c r="F222" s="2809" t="s">
        <v>172</v>
      </c>
      <c r="G222" s="2810" t="n">
        <v>4.861111111111111E-4</v>
      </c>
      <c r="H222" s="2811" t="s">
        <v>174</v>
      </c>
      <c r="I222" s="2812" t="s">
        <v>109</v>
      </c>
      <c r="J222" s="2813" t="n">
        <v>0.0</v>
      </c>
      <c r="K222" s="2814" t="n">
        <v>-49.64</v>
      </c>
      <c r="L222" s="2815" t="s">
        <v>167</v>
      </c>
    </row>
    <row r="223" ht="24.75" customHeight="true">
      <c r="A223" s="2816" t="n">
        <v>42362.703368055554</v>
      </c>
      <c r="B223" s="2817" t="n">
        <v>42362.703368055554</v>
      </c>
      <c r="C223" s="2818" t="s">
        <v>169</v>
      </c>
      <c r="D223" s="2819" t="s">
        <v>186</v>
      </c>
      <c r="E223" s="2820" t="s">
        <v>171</v>
      </c>
      <c r="F223" s="2821" t="s">
        <v>172</v>
      </c>
      <c r="G223" s="2822" t="n">
        <v>7.407407407407407E-4</v>
      </c>
      <c r="H223" s="2823" t="s">
        <v>174</v>
      </c>
      <c r="I223" s="2824" t="s">
        <v>109</v>
      </c>
      <c r="J223" s="2825" t="n">
        <v>0.0</v>
      </c>
      <c r="K223" s="2826" t="n">
        <v>-49.64</v>
      </c>
      <c r="L223" s="2827" t="s">
        <v>167</v>
      </c>
    </row>
    <row r="224" ht="24.75" customHeight="true">
      <c r="A224" s="2828" t="n">
        <v>42362.65524305555</v>
      </c>
      <c r="B224" s="2829" t="n">
        <v>42362.65524305555</v>
      </c>
      <c r="C224" s="2830" t="s">
        <v>169</v>
      </c>
      <c r="D224" s="2831" t="s">
        <v>186</v>
      </c>
      <c r="E224" s="2832" t="s">
        <v>171</v>
      </c>
      <c r="F224" s="2833" t="s">
        <v>172</v>
      </c>
      <c r="G224" s="2834" t="n">
        <v>0.0010416666666666667</v>
      </c>
      <c r="H224" s="2835" t="s">
        <v>174</v>
      </c>
      <c r="I224" s="2836" t="s">
        <v>109</v>
      </c>
      <c r="J224" s="2837" t="n">
        <v>0.0</v>
      </c>
      <c r="K224" s="2838" t="n">
        <v>-49.64</v>
      </c>
      <c r="L224" s="2839" t="s">
        <v>167</v>
      </c>
    </row>
    <row r="225" ht="24.75" customHeight="true">
      <c r="A225" s="2840" t="n">
        <v>42362.61512731481</v>
      </c>
      <c r="B225" s="2841" t="n">
        <v>42362.61512731481</v>
      </c>
      <c r="C225" s="2842" t="s">
        <v>169</v>
      </c>
      <c r="D225" s="2843" t="s">
        <v>316</v>
      </c>
      <c r="E225" s="2844" t="s">
        <v>171</v>
      </c>
      <c r="F225" s="2845" t="s">
        <v>172</v>
      </c>
      <c r="G225" s="2846" t="n">
        <v>3.2407407407407406E-4</v>
      </c>
      <c r="H225" s="2847" t="s">
        <v>174</v>
      </c>
      <c r="I225" s="2848" t="s">
        <v>109</v>
      </c>
      <c r="J225" s="2849" t="n">
        <v>0.0</v>
      </c>
      <c r="K225" s="2850" t="n">
        <v>-49.64</v>
      </c>
      <c r="L225" s="2851" t="s">
        <v>167</v>
      </c>
    </row>
    <row r="226" ht="24.75" customHeight="true">
      <c r="A226" s="2852" t="n">
        <v>42359.78429398148</v>
      </c>
      <c r="B226" s="2853" t="n">
        <v>42359.78429398148</v>
      </c>
      <c r="C226" s="2854" t="s">
        <v>169</v>
      </c>
      <c r="D226" s="2855" t="s">
        <v>170</v>
      </c>
      <c r="E226" s="2856" t="s">
        <v>171</v>
      </c>
      <c r="F226" s="2857" t="s">
        <v>172</v>
      </c>
      <c r="G226" s="2858" t="n">
        <v>0.0014467592592592592</v>
      </c>
      <c r="H226" s="2859" t="s">
        <v>174</v>
      </c>
      <c r="I226" s="2860" t="s">
        <v>109</v>
      </c>
      <c r="J226" s="2861" t="n">
        <v>0.0</v>
      </c>
      <c r="K226" s="2862" t="n">
        <v>-49.64</v>
      </c>
      <c r="L226" s="2863" t="s">
        <v>167</v>
      </c>
    </row>
    <row r="227" ht="24.75" customHeight="true">
      <c r="A227" s="2864" t="n">
        <v>42359.615891203706</v>
      </c>
      <c r="B227" s="2865" t="n">
        <v>42359.615891203706</v>
      </c>
      <c r="C227" s="2866" t="s">
        <v>169</v>
      </c>
      <c r="D227" s="2867" t="s">
        <v>292</v>
      </c>
      <c r="E227" s="2868" t="s">
        <v>277</v>
      </c>
      <c r="F227" s="2869" t="s">
        <v>287</v>
      </c>
      <c r="G227" s="2870" t="n">
        <v>1.7361111111111112E-4</v>
      </c>
      <c r="H227" s="2871" t="s">
        <v>174</v>
      </c>
      <c r="I227" s="2872" t="s">
        <v>109</v>
      </c>
      <c r="J227" s="2873" t="n">
        <v>0.0</v>
      </c>
      <c r="K227" s="2874" t="n">
        <v>-49.64</v>
      </c>
      <c r="L227" s="2875" t="s">
        <v>167</v>
      </c>
    </row>
    <row r="228" ht="24.75" customHeight="true">
      <c r="A228" s="2876" t="n">
        <v>42359.45270833333</v>
      </c>
      <c r="B228" s="2877" t="n">
        <v>42359.45270833333</v>
      </c>
      <c r="C228" s="2878" t="s">
        <v>169</v>
      </c>
      <c r="D228" s="2879" t="s">
        <v>292</v>
      </c>
      <c r="E228" s="2880" t="s">
        <v>277</v>
      </c>
      <c r="F228" s="2881" t="s">
        <v>287</v>
      </c>
      <c r="G228" s="2882" t="n">
        <v>4.6296296296296294E-5</v>
      </c>
      <c r="H228" s="2883" t="s">
        <v>174</v>
      </c>
      <c r="I228" s="2884" t="s">
        <v>109</v>
      </c>
      <c r="J228" s="2885" t="n">
        <v>0.0</v>
      </c>
      <c r="K228" s="2886" t="n">
        <v>-49.64</v>
      </c>
      <c r="L228" s="2887" t="s">
        <v>167</v>
      </c>
    </row>
    <row r="229" ht="24.75" customHeight="true">
      <c r="A229" s="2888" t="n">
        <v>42358.71695601852</v>
      </c>
      <c r="B229" s="2889" t="n">
        <v>42358.71695601852</v>
      </c>
      <c r="C229" s="2890" t="s">
        <v>169</v>
      </c>
      <c r="D229" s="2891" t="s">
        <v>170</v>
      </c>
      <c r="E229" s="2892" t="s">
        <v>171</v>
      </c>
      <c r="F229" s="2893" t="s">
        <v>172</v>
      </c>
      <c r="G229" s="2894" t="n">
        <v>8.796296296296296E-4</v>
      </c>
      <c r="H229" s="2895" t="s">
        <v>174</v>
      </c>
      <c r="I229" s="2896" t="s">
        <v>109</v>
      </c>
      <c r="J229" s="2897" t="n">
        <v>0.0</v>
      </c>
      <c r="K229" s="2898" t="n">
        <v>-49.64</v>
      </c>
      <c r="L229" s="2899" t="s">
        <v>167</v>
      </c>
    </row>
    <row r="230" ht="24.75" customHeight="true">
      <c r="A230" s="2900" t="n">
        <v>42358.64769675926</v>
      </c>
      <c r="B230" s="2901" t="n">
        <v>42358.64769675926</v>
      </c>
      <c r="C230" s="2902" t="s">
        <v>169</v>
      </c>
      <c r="D230" s="2903" t="s">
        <v>170</v>
      </c>
      <c r="E230" s="2904" t="s">
        <v>171</v>
      </c>
      <c r="F230" s="2905" t="s">
        <v>172</v>
      </c>
      <c r="G230" s="2906" t="n">
        <v>2.4305555555555555E-4</v>
      </c>
      <c r="H230" s="2907" t="s">
        <v>174</v>
      </c>
      <c r="I230" s="2908" t="s">
        <v>109</v>
      </c>
      <c r="J230" s="2909" t="n">
        <v>0.0</v>
      </c>
      <c r="K230" s="2910" t="n">
        <v>-49.64</v>
      </c>
      <c r="L230" s="2911" t="s">
        <v>167</v>
      </c>
    </row>
    <row r="231" ht="24.75" customHeight="true">
      <c r="A231" s="2912" t="n">
        <v>42358.639375</v>
      </c>
      <c r="B231" s="2913" t="n">
        <v>42358.639375</v>
      </c>
      <c r="C231" s="2914" t="s">
        <v>169</v>
      </c>
      <c r="D231" s="2915" t="s">
        <v>170</v>
      </c>
      <c r="E231" s="2916" t="s">
        <v>171</v>
      </c>
      <c r="F231" s="2917" t="s">
        <v>172</v>
      </c>
      <c r="G231" s="2918" t="n">
        <v>9.259259259259259E-5</v>
      </c>
      <c r="H231" s="2919" t="s">
        <v>174</v>
      </c>
      <c r="I231" s="2920" t="s">
        <v>109</v>
      </c>
      <c r="J231" s="2921" t="n">
        <v>0.0</v>
      </c>
      <c r="K231" s="2922" t="n">
        <v>-49.64</v>
      </c>
      <c r="L231" s="2923" t="s">
        <v>167</v>
      </c>
    </row>
    <row r="232" ht="24.75" customHeight="true">
      <c r="A232" s="2924" t="n">
        <v>42358.63851851852</v>
      </c>
      <c r="B232" s="2925" t="n">
        <v>42358.63851851852</v>
      </c>
      <c r="C232" s="2926" t="s">
        <v>169</v>
      </c>
      <c r="D232" s="2927" t="s">
        <v>170</v>
      </c>
      <c r="E232" s="2928" t="s">
        <v>171</v>
      </c>
      <c r="F232" s="2929" t="s">
        <v>172</v>
      </c>
      <c r="G232" s="2930" t="n">
        <v>1.8518518518518518E-4</v>
      </c>
      <c r="H232" s="2931" t="s">
        <v>174</v>
      </c>
      <c r="I232" s="2932" t="s">
        <v>109</v>
      </c>
      <c r="J232" s="2933" t="n">
        <v>0.0</v>
      </c>
      <c r="K232" s="2934" t="n">
        <v>-49.64</v>
      </c>
      <c r="L232" s="2935" t="s">
        <v>167</v>
      </c>
    </row>
    <row r="233" ht="24.75" customHeight="true">
      <c r="A233" s="2936" t="n">
        <v>42358.63758101852</v>
      </c>
      <c r="B233" s="2937" t="n">
        <v>42358.63758101852</v>
      </c>
      <c r="C233" s="2938" t="s">
        <v>169</v>
      </c>
      <c r="D233" s="2939" t="s">
        <v>186</v>
      </c>
      <c r="E233" s="2940" t="s">
        <v>171</v>
      </c>
      <c r="F233" s="2941" t="s">
        <v>172</v>
      </c>
      <c r="G233" s="2942" t="n">
        <v>3.356481481481481E-4</v>
      </c>
      <c r="H233" s="2943" t="s">
        <v>174</v>
      </c>
      <c r="I233" s="2944" t="s">
        <v>109</v>
      </c>
      <c r="J233" s="2945" t="n">
        <v>0.0</v>
      </c>
      <c r="K233" s="2946" t="n">
        <v>-49.64</v>
      </c>
      <c r="L233" s="2947" t="s">
        <v>167</v>
      </c>
    </row>
    <row r="234" ht="24.75" customHeight="true">
      <c r="A234" s="2948" t="n">
        <v>42358.62126157407</v>
      </c>
      <c r="B234" s="2949" t="n">
        <v>42358.62126157407</v>
      </c>
      <c r="C234" s="2950" t="s">
        <v>169</v>
      </c>
      <c r="D234" s="2951" t="s">
        <v>186</v>
      </c>
      <c r="E234" s="2952" t="s">
        <v>171</v>
      </c>
      <c r="F234" s="2953" t="s">
        <v>172</v>
      </c>
      <c r="G234" s="2954" t="n">
        <v>5.439814814814814E-4</v>
      </c>
      <c r="H234" s="2955" t="s">
        <v>174</v>
      </c>
      <c r="I234" s="2956" t="s">
        <v>109</v>
      </c>
      <c r="J234" s="2957" t="n">
        <v>0.0</v>
      </c>
      <c r="K234" s="2958" t="n">
        <v>-49.64</v>
      </c>
      <c r="L234" s="2959" t="s">
        <v>167</v>
      </c>
    </row>
    <row r="235" ht="24.75" customHeight="true">
      <c r="A235" s="2960" t="n">
        <v>42358.61446759259</v>
      </c>
      <c r="B235" s="2961" t="n">
        <v>42358.61446759259</v>
      </c>
      <c r="C235" s="2962" t="s">
        <v>169</v>
      </c>
      <c r="D235" s="2963" t="s">
        <v>186</v>
      </c>
      <c r="E235" s="2964" t="s">
        <v>171</v>
      </c>
      <c r="F235" s="2965" t="s">
        <v>172</v>
      </c>
      <c r="G235" s="2966" t="n">
        <v>9.25925925925926E-4</v>
      </c>
      <c r="H235" s="2967" t="s">
        <v>174</v>
      </c>
      <c r="I235" s="2968" t="s">
        <v>109</v>
      </c>
      <c r="J235" s="2969" t="n">
        <v>0.0</v>
      </c>
      <c r="K235" s="2970" t="n">
        <v>-49.64</v>
      </c>
      <c r="L235" s="2971" t="s">
        <v>167</v>
      </c>
    </row>
    <row r="236" ht="24.75" customHeight="true">
      <c r="A236" s="2972" t="n">
        <v>42358.61309027778</v>
      </c>
      <c r="B236" s="2973" t="n">
        <v>42358.61309027778</v>
      </c>
      <c r="C236" s="2974" t="s">
        <v>169</v>
      </c>
      <c r="D236" s="2975" t="s">
        <v>170</v>
      </c>
      <c r="E236" s="2976" t="s">
        <v>171</v>
      </c>
      <c r="F236" s="2977" t="s">
        <v>172</v>
      </c>
      <c r="G236" s="2978" t="n">
        <v>4.62962962962963E-4</v>
      </c>
      <c r="H236" s="2979" t="s">
        <v>174</v>
      </c>
      <c r="I236" s="2980" t="s">
        <v>109</v>
      </c>
      <c r="J236" s="2981" t="n">
        <v>0.0</v>
      </c>
      <c r="K236" s="2982" t="n">
        <v>-49.64</v>
      </c>
      <c r="L236" s="2983" t="s">
        <v>167</v>
      </c>
    </row>
    <row r="237" ht="24.75" customHeight="true">
      <c r="A237" s="2984" t="n">
        <v>42357.46842592592</v>
      </c>
      <c r="B237" s="2985" t="n">
        <v>42357.46842592592</v>
      </c>
      <c r="C237" s="2986" t="s">
        <v>169</v>
      </c>
      <c r="D237" s="2987" t="s">
        <v>170</v>
      </c>
      <c r="E237" s="2988" t="s">
        <v>171</v>
      </c>
      <c r="F237" s="2989" t="s">
        <v>172</v>
      </c>
      <c r="G237" s="2990" t="n">
        <v>1.6203703703703703E-4</v>
      </c>
      <c r="H237" s="2991" t="s">
        <v>174</v>
      </c>
      <c r="I237" s="2992" t="s">
        <v>109</v>
      </c>
      <c r="J237" s="2993" t="n">
        <v>0.0</v>
      </c>
      <c r="K237" s="2994" t="n">
        <v>-49.64</v>
      </c>
      <c r="L237" s="2995" t="s">
        <v>167</v>
      </c>
    </row>
    <row r="238" ht="24.75" customHeight="true">
      <c r="A238" s="2996" t="n">
        <v>42357.41972222222</v>
      </c>
      <c r="B238" s="2997" t="n">
        <v>42357.41972222222</v>
      </c>
      <c r="C238" s="2998" t="s">
        <v>169</v>
      </c>
      <c r="D238" s="2999" t="s">
        <v>170</v>
      </c>
      <c r="E238" s="3000" t="s">
        <v>171</v>
      </c>
      <c r="F238" s="3001" t="s">
        <v>172</v>
      </c>
      <c r="G238" s="3002" t="n">
        <v>2.199074074074074E-4</v>
      </c>
      <c r="H238" s="3003" t="s">
        <v>174</v>
      </c>
      <c r="I238" s="3004" t="s">
        <v>109</v>
      </c>
      <c r="J238" s="3005" t="n">
        <v>0.0</v>
      </c>
      <c r="K238" s="3006" t="n">
        <v>-49.64</v>
      </c>
      <c r="L238" s="3007" t="s">
        <v>167</v>
      </c>
    </row>
    <row r="239" ht="24.75" customHeight="true">
      <c r="A239" s="3008" t="n">
        <v>42356.86351851852</v>
      </c>
      <c r="B239" s="3009" t="n">
        <v>42356.86351851852</v>
      </c>
      <c r="C239" s="3010" t="s">
        <v>169</v>
      </c>
      <c r="D239" s="3011" t="s">
        <v>261</v>
      </c>
      <c r="E239" s="3012" t="s">
        <v>262</v>
      </c>
      <c r="F239" s="3013" t="s">
        <v>172</v>
      </c>
      <c r="G239" s="3014" t="n">
        <v>1.0416666666666667E-4</v>
      </c>
      <c r="H239" s="3015" t="s">
        <v>174</v>
      </c>
      <c r="I239" s="3016" t="s">
        <v>109</v>
      </c>
      <c r="J239" s="3017" t="n">
        <v>0.0</v>
      </c>
      <c r="K239" s="3018" t="n">
        <v>-49.64</v>
      </c>
      <c r="L239" s="3019" t="s">
        <v>167</v>
      </c>
    </row>
    <row r="240" ht="24.75" customHeight="true">
      <c r="A240" s="3020" t="n">
        <v>42356.85265046296</v>
      </c>
      <c r="B240" s="3021" t="n">
        <v>42356.85265046296</v>
      </c>
      <c r="C240" s="3022" t="s">
        <v>169</v>
      </c>
      <c r="D240" s="3023" t="s">
        <v>261</v>
      </c>
      <c r="E240" s="3024" t="s">
        <v>262</v>
      </c>
      <c r="F240" s="3025" t="s">
        <v>172</v>
      </c>
      <c r="G240" s="3026" t="n">
        <v>4.2824074074074075E-4</v>
      </c>
      <c r="H240" s="3027" t="s">
        <v>174</v>
      </c>
      <c r="I240" s="3028" t="s">
        <v>109</v>
      </c>
      <c r="J240" s="3029" t="n">
        <v>0.0</v>
      </c>
      <c r="K240" s="3030" t="n">
        <v>-49.64</v>
      </c>
      <c r="L240" s="3031" t="s">
        <v>167</v>
      </c>
    </row>
    <row r="241" ht="24.75" customHeight="true">
      <c r="A241" s="3032" t="n">
        <v>42356.83677083333</v>
      </c>
      <c r="B241" s="3033" t="n">
        <v>42356.83677083333</v>
      </c>
      <c r="C241" s="3034" t="s">
        <v>169</v>
      </c>
      <c r="D241" s="3035" t="s">
        <v>261</v>
      </c>
      <c r="E241" s="3036" t="s">
        <v>262</v>
      </c>
      <c r="F241" s="3037" t="s">
        <v>172</v>
      </c>
      <c r="G241" s="3038" t="n">
        <v>3.7037037037037035E-4</v>
      </c>
      <c r="H241" s="3039" t="s">
        <v>174</v>
      </c>
      <c r="I241" s="3040" t="s">
        <v>109</v>
      </c>
      <c r="J241" s="3041" t="n">
        <v>0.0</v>
      </c>
      <c r="K241" s="3042" t="n">
        <v>-49.64</v>
      </c>
      <c r="L241" s="3043" t="s">
        <v>167</v>
      </c>
    </row>
    <row r="242" ht="24.75" customHeight="true">
      <c r="A242" s="3044" t="n">
        <v>42356.5856712963</v>
      </c>
      <c r="B242" s="3045" t="n">
        <v>42356.5856712963</v>
      </c>
      <c r="C242" s="3046" t="s">
        <v>169</v>
      </c>
      <c r="D242" s="3047" t="s">
        <v>170</v>
      </c>
      <c r="E242" s="3048" t="s">
        <v>171</v>
      </c>
      <c r="F242" s="3049" t="s">
        <v>172</v>
      </c>
      <c r="G242" s="3050" t="n">
        <v>5.208333333333333E-4</v>
      </c>
      <c r="H242" s="3051" t="s">
        <v>174</v>
      </c>
      <c r="I242" s="3052" t="s">
        <v>109</v>
      </c>
      <c r="J242" s="3053" t="n">
        <v>0.0</v>
      </c>
      <c r="K242" s="3054" t="n">
        <v>-49.64</v>
      </c>
      <c r="L242" s="3055" t="s">
        <v>167</v>
      </c>
    </row>
    <row r="243" ht="24.75" customHeight="true">
      <c r="A243" s="3056" t="n">
        <v>42356.46215277778</v>
      </c>
      <c r="B243" s="3057" t="n">
        <v>42356.46215277778</v>
      </c>
      <c r="C243" s="3058" t="s">
        <v>169</v>
      </c>
      <c r="D243" s="3059" t="s">
        <v>186</v>
      </c>
      <c r="E243" s="3060" t="s">
        <v>171</v>
      </c>
      <c r="F243" s="3061" t="s">
        <v>172</v>
      </c>
      <c r="G243" s="3062" t="n">
        <v>3.125E-4</v>
      </c>
      <c r="H243" s="3063" t="s">
        <v>174</v>
      </c>
      <c r="I243" s="3064" t="s">
        <v>109</v>
      </c>
      <c r="J243" s="3065" t="n">
        <v>0.0</v>
      </c>
      <c r="K243" s="3066" t="n">
        <v>-49.64</v>
      </c>
      <c r="L243" s="3067" t="s">
        <v>167</v>
      </c>
    </row>
    <row r="244" ht="24.75" customHeight="true">
      <c r="A244" s="3068" t="n">
        <v>42356.415300925924</v>
      </c>
      <c r="B244" s="3069" t="n">
        <v>42356.415300925924</v>
      </c>
      <c r="C244" s="3070" t="s">
        <v>169</v>
      </c>
      <c r="D244" s="3071" t="s">
        <v>292</v>
      </c>
      <c r="E244" s="3072" t="s">
        <v>277</v>
      </c>
      <c r="F244" s="3073" t="s">
        <v>287</v>
      </c>
      <c r="G244" s="3074" t="n">
        <v>0.005497685185185185</v>
      </c>
      <c r="H244" s="3075" t="s">
        <v>174</v>
      </c>
      <c r="I244" s="3076" t="s">
        <v>109</v>
      </c>
      <c r="J244" s="3077" t="n">
        <v>0.0</v>
      </c>
      <c r="K244" s="3078" t="n">
        <v>-49.64</v>
      </c>
      <c r="L244" s="3079" t="s">
        <v>167</v>
      </c>
    </row>
    <row r="245" ht="24.75" customHeight="true">
      <c r="A245" s="3080" t="n">
        <v>42355.78907407408</v>
      </c>
      <c r="B245" s="3081" t="n">
        <v>42355.78907407408</v>
      </c>
      <c r="C245" s="3082" t="s">
        <v>169</v>
      </c>
      <c r="D245" s="3083" t="s">
        <v>170</v>
      </c>
      <c r="E245" s="3084" t="s">
        <v>171</v>
      </c>
      <c r="F245" s="3085" t="s">
        <v>172</v>
      </c>
      <c r="G245" s="3086" t="n">
        <v>9.375E-4</v>
      </c>
      <c r="H245" s="3087" t="s">
        <v>174</v>
      </c>
      <c r="I245" s="3088" t="s">
        <v>109</v>
      </c>
      <c r="J245" s="3089" t="n">
        <v>0.0</v>
      </c>
      <c r="K245" s="3090" t="n">
        <v>-49.64</v>
      </c>
      <c r="L245" s="3091" t="s">
        <v>167</v>
      </c>
    </row>
    <row r="246" ht="24.75" customHeight="true">
      <c r="A246" s="3092" t="n">
        <v>42355.783784722225</v>
      </c>
      <c r="B246" s="3093" t="n">
        <v>42355.783784722225</v>
      </c>
      <c r="C246" s="3094" t="s">
        <v>169</v>
      </c>
      <c r="D246" s="3095" t="s">
        <v>170</v>
      </c>
      <c r="E246" s="3096" t="s">
        <v>171</v>
      </c>
      <c r="F246" s="3097" t="s">
        <v>172</v>
      </c>
      <c r="G246" s="3098" t="n">
        <v>3.4722222222222224E-4</v>
      </c>
      <c r="H246" s="3099" t="s">
        <v>174</v>
      </c>
      <c r="I246" s="3100" t="s">
        <v>109</v>
      </c>
      <c r="J246" s="3101" t="n">
        <v>0.0</v>
      </c>
      <c r="K246" s="3102" t="n">
        <v>-49.64</v>
      </c>
      <c r="L246" s="3103" t="s">
        <v>167</v>
      </c>
    </row>
    <row r="247" ht="24.75" customHeight="true">
      <c r="A247" s="3104" t="n">
        <v>42355.72965277778</v>
      </c>
      <c r="B247" s="3105" t="n">
        <v>42355.72965277778</v>
      </c>
      <c r="C247" s="3106" t="s">
        <v>169</v>
      </c>
      <c r="D247" s="3107" t="s">
        <v>170</v>
      </c>
      <c r="E247" s="3108" t="s">
        <v>171</v>
      </c>
      <c r="F247" s="3109" t="s">
        <v>172</v>
      </c>
      <c r="G247" s="3110" t="n">
        <v>1.1574074074074075E-4</v>
      </c>
      <c r="H247" s="3111" t="s">
        <v>174</v>
      </c>
      <c r="I247" s="3112" t="s">
        <v>109</v>
      </c>
      <c r="J247" s="3113" t="n">
        <v>0.0</v>
      </c>
      <c r="K247" s="3114" t="n">
        <v>-49.64</v>
      </c>
      <c r="L247" s="3115" t="s">
        <v>167</v>
      </c>
    </row>
    <row r="248" ht="24.75" customHeight="true">
      <c r="A248" s="3116" t="n">
        <v>42355.50219907407</v>
      </c>
      <c r="B248" s="3117" t="n">
        <v>42355.50219907407</v>
      </c>
      <c r="C248" s="3118" t="s">
        <v>169</v>
      </c>
      <c r="D248" s="3119" t="s">
        <v>328</v>
      </c>
      <c r="E248" s="3120" t="s">
        <v>171</v>
      </c>
      <c r="F248" s="3121" t="s">
        <v>172</v>
      </c>
      <c r="G248" s="3122" t="n">
        <v>2.0833333333333335E-4</v>
      </c>
      <c r="H248" s="3123" t="s">
        <v>174</v>
      </c>
      <c r="I248" s="3124" t="s">
        <v>109</v>
      </c>
      <c r="J248" s="3125" t="n">
        <v>0.0</v>
      </c>
      <c r="K248" s="3126" t="n">
        <v>-49.64</v>
      </c>
      <c r="L248" s="3127" t="s">
        <v>167</v>
      </c>
    </row>
    <row r="249" ht="24.75" customHeight="true">
      <c r="A249" s="3128" t="n">
        <v>42354.64923611111</v>
      </c>
      <c r="B249" s="3129" t="n">
        <v>42354.64923611111</v>
      </c>
      <c r="C249" s="3130" t="s">
        <v>169</v>
      </c>
      <c r="D249" s="3131" t="s">
        <v>170</v>
      </c>
      <c r="E249" s="3132" t="s">
        <v>171</v>
      </c>
      <c r="F249" s="3133" t="s">
        <v>172</v>
      </c>
      <c r="G249" s="3134" t="n">
        <v>2.199074074074074E-4</v>
      </c>
      <c r="H249" s="3135" t="s">
        <v>174</v>
      </c>
      <c r="I249" s="3136" t="s">
        <v>109</v>
      </c>
      <c r="J249" s="3137" t="n">
        <v>0.0</v>
      </c>
      <c r="K249" s="3138" t="n">
        <v>-49.64</v>
      </c>
      <c r="L249" s="3139" t="s">
        <v>167</v>
      </c>
    </row>
    <row r="250" ht="24.75" customHeight="true">
      <c r="A250" s="3140" t="n">
        <v>42354.641805555555</v>
      </c>
      <c r="B250" s="3141" t="n">
        <v>42354.641805555555</v>
      </c>
      <c r="C250" s="3142" t="s">
        <v>169</v>
      </c>
      <c r="D250" s="3143" t="s">
        <v>186</v>
      </c>
      <c r="E250" s="3144" t="s">
        <v>171</v>
      </c>
      <c r="F250" s="3145" t="s">
        <v>172</v>
      </c>
      <c r="G250" s="3146" t="n">
        <v>8.217592592592593E-4</v>
      </c>
      <c r="H250" s="3147" t="s">
        <v>174</v>
      </c>
      <c r="I250" s="3148" t="s">
        <v>109</v>
      </c>
      <c r="J250" s="3149" t="n">
        <v>0.0</v>
      </c>
      <c r="K250" s="3150" t="n">
        <v>-49.64</v>
      </c>
      <c r="L250" s="3151" t="s">
        <v>167</v>
      </c>
    </row>
    <row r="251" ht="24.75" customHeight="true">
      <c r="A251" s="3152" t="n">
        <v>42354.5594212963</v>
      </c>
      <c r="B251" s="3153" t="n">
        <v>42354.5594212963</v>
      </c>
      <c r="C251" s="3154" t="s">
        <v>169</v>
      </c>
      <c r="D251" s="3155" t="s">
        <v>186</v>
      </c>
      <c r="E251" s="3156" t="s">
        <v>171</v>
      </c>
      <c r="F251" s="3157" t="s">
        <v>172</v>
      </c>
      <c r="G251" s="3158" t="n">
        <v>0.0017013888888888888</v>
      </c>
      <c r="H251" s="3159" t="s">
        <v>174</v>
      </c>
      <c r="I251" s="3160" t="s">
        <v>109</v>
      </c>
      <c r="J251" s="3161" t="n">
        <v>0.0</v>
      </c>
      <c r="K251" s="3162" t="n">
        <v>-49.64</v>
      </c>
      <c r="L251" s="3163" t="s">
        <v>167</v>
      </c>
    </row>
    <row r="252" ht="24.75" customHeight="true">
      <c r="A252" s="3164" t="n">
        <v>42354.455104166664</v>
      </c>
      <c r="B252" s="3165" t="n">
        <v>42354.455104166664</v>
      </c>
      <c r="C252" s="3166" t="s">
        <v>169</v>
      </c>
      <c r="D252" s="3167" t="s">
        <v>170</v>
      </c>
      <c r="E252" s="3168" t="s">
        <v>171</v>
      </c>
      <c r="F252" s="3169" t="s">
        <v>172</v>
      </c>
      <c r="G252" s="3170" t="n">
        <v>8.912037037037037E-4</v>
      </c>
      <c r="H252" s="3171" t="s">
        <v>174</v>
      </c>
      <c r="I252" s="3172" t="s">
        <v>109</v>
      </c>
      <c r="J252" s="3173" t="n">
        <v>0.0</v>
      </c>
      <c r="K252" s="3174" t="n">
        <v>-49.64</v>
      </c>
      <c r="L252" s="3175" t="s">
        <v>167</v>
      </c>
    </row>
    <row r="253" ht="24.75" customHeight="true">
      <c r="A253" s="3176" t="n">
        <v>42354.40238425926</v>
      </c>
      <c r="B253" s="3177" t="n">
        <v>42354.40238425926</v>
      </c>
      <c r="C253" s="3178" t="s">
        <v>169</v>
      </c>
      <c r="D253" s="3179" t="s">
        <v>170</v>
      </c>
      <c r="E253" s="3180" t="s">
        <v>171</v>
      </c>
      <c r="F253" s="3181" t="s">
        <v>172</v>
      </c>
      <c r="G253" s="3182" t="n">
        <v>1.273148148148148E-4</v>
      </c>
      <c r="H253" s="3183" t="s">
        <v>174</v>
      </c>
      <c r="I253" s="3184" t="s">
        <v>109</v>
      </c>
      <c r="J253" s="3185" t="n">
        <v>0.0</v>
      </c>
      <c r="K253" s="3186" t="n">
        <v>-49.64</v>
      </c>
      <c r="L253" s="3187" t="s">
        <v>167</v>
      </c>
    </row>
    <row r="254" ht="24.75" customHeight="true">
      <c r="A254" s="3188" t="n">
        <v>42354.38253472222</v>
      </c>
      <c r="B254" s="3189" t="n">
        <v>42354.38253472222</v>
      </c>
      <c r="C254" s="3190" t="s">
        <v>169</v>
      </c>
      <c r="D254" s="3191" t="s">
        <v>170</v>
      </c>
      <c r="E254" s="3192" t="s">
        <v>171</v>
      </c>
      <c r="F254" s="3193" t="s">
        <v>172</v>
      </c>
      <c r="G254" s="3194" t="n">
        <v>3.7037037037037035E-4</v>
      </c>
      <c r="H254" s="3195" t="s">
        <v>174</v>
      </c>
      <c r="I254" s="3196" t="s">
        <v>109</v>
      </c>
      <c r="J254" s="3197" t="n">
        <v>0.0</v>
      </c>
      <c r="K254" s="3198" t="n">
        <v>-49.64</v>
      </c>
      <c r="L254" s="3199" t="s">
        <v>167</v>
      </c>
    </row>
    <row r="255" ht="24.75" customHeight="true">
      <c r="A255" s="3200" t="n">
        <v>42353.89199074074</v>
      </c>
      <c r="B255" s="3201" t="n">
        <v>42353.89199074074</v>
      </c>
      <c r="C255" s="3202" t="s">
        <v>169</v>
      </c>
      <c r="D255" s="3203" t="s">
        <v>186</v>
      </c>
      <c r="E255" s="3204" t="s">
        <v>171</v>
      </c>
      <c r="F255" s="3205" t="s">
        <v>172</v>
      </c>
      <c r="G255" s="3206" t="n">
        <v>5.439814814814814E-4</v>
      </c>
      <c r="H255" s="3207" t="s">
        <v>174</v>
      </c>
      <c r="I255" s="3208" t="s">
        <v>109</v>
      </c>
      <c r="J255" s="3209" t="n">
        <v>0.0</v>
      </c>
      <c r="K255" s="3210" t="n">
        <v>-49.64</v>
      </c>
      <c r="L255" s="3211" t="s">
        <v>167</v>
      </c>
    </row>
    <row r="256" ht="24.75" customHeight="true">
      <c r="A256" s="3212" t="n">
        <v>42353.86785879629</v>
      </c>
      <c r="B256" s="3213" t="n">
        <v>42353.86785879629</v>
      </c>
      <c r="C256" s="3214" t="s">
        <v>169</v>
      </c>
      <c r="D256" s="3215" t="s">
        <v>186</v>
      </c>
      <c r="E256" s="3216" t="s">
        <v>171</v>
      </c>
      <c r="F256" s="3217" t="s">
        <v>172</v>
      </c>
      <c r="G256" s="3218" t="n">
        <v>0.0021759259259259258</v>
      </c>
      <c r="H256" s="3219" t="s">
        <v>174</v>
      </c>
      <c r="I256" s="3220" t="s">
        <v>109</v>
      </c>
      <c r="J256" s="3221" t="n">
        <v>0.0</v>
      </c>
      <c r="K256" s="3222" t="n">
        <v>-49.64</v>
      </c>
      <c r="L256" s="3223" t="s">
        <v>167</v>
      </c>
    </row>
    <row r="257" ht="24.75" customHeight="true">
      <c r="A257" s="3224" t="n">
        <v>42353.77101851852</v>
      </c>
      <c r="B257" s="3225" t="n">
        <v>42353.77101851852</v>
      </c>
      <c r="C257" s="3226" t="s">
        <v>169</v>
      </c>
      <c r="D257" s="3227" t="s">
        <v>170</v>
      </c>
      <c r="E257" s="3228" t="s">
        <v>171</v>
      </c>
      <c r="F257" s="3229" t="s">
        <v>172</v>
      </c>
      <c r="G257" s="3230" t="n">
        <v>9.027777777777777E-4</v>
      </c>
      <c r="H257" s="3231" t="s">
        <v>174</v>
      </c>
      <c r="I257" s="3232" t="s">
        <v>109</v>
      </c>
      <c r="J257" s="3233" t="n">
        <v>0.0</v>
      </c>
      <c r="K257" s="3234" t="n">
        <v>-49.64</v>
      </c>
      <c r="L257" s="3235" t="s">
        <v>167</v>
      </c>
    </row>
    <row r="258" ht="24.75" customHeight="true">
      <c r="A258" s="3236" t="n">
        <v>42353.6390625</v>
      </c>
      <c r="B258" s="3237" t="n">
        <v>42353.6390625</v>
      </c>
      <c r="C258" s="3238" t="s">
        <v>169</v>
      </c>
      <c r="D258" s="3239" t="s">
        <v>316</v>
      </c>
      <c r="E258" s="3240" t="s">
        <v>171</v>
      </c>
      <c r="F258" s="3241" t="s">
        <v>172</v>
      </c>
      <c r="G258" s="3242" t="n">
        <v>9.953703703703704E-4</v>
      </c>
      <c r="H258" s="3243" t="s">
        <v>174</v>
      </c>
      <c r="I258" s="3244" t="s">
        <v>109</v>
      </c>
      <c r="J258" s="3245" t="n">
        <v>0.0</v>
      </c>
      <c r="K258" s="3246" t="n">
        <v>-49.64</v>
      </c>
      <c r="L258" s="3247" t="s">
        <v>167</v>
      </c>
    </row>
    <row r="259" ht="24.75" customHeight="true">
      <c r="A259" s="3248" t="n">
        <v>42353.34469907408</v>
      </c>
      <c r="B259" s="3249" t="n">
        <v>42353.34469907408</v>
      </c>
      <c r="C259" s="3250" t="s">
        <v>169</v>
      </c>
      <c r="D259" s="3251" t="s">
        <v>170</v>
      </c>
      <c r="E259" s="3252" t="s">
        <v>171</v>
      </c>
      <c r="F259" s="3253" t="s">
        <v>172</v>
      </c>
      <c r="G259" s="3254" t="n">
        <v>3.125E-4</v>
      </c>
      <c r="H259" s="3255" t="s">
        <v>174</v>
      </c>
      <c r="I259" s="3256" t="s">
        <v>109</v>
      </c>
      <c r="J259" s="3257" t="n">
        <v>0.0</v>
      </c>
      <c r="K259" s="3258" t="n">
        <v>-49.64</v>
      </c>
      <c r="L259" s="3259" t="s">
        <v>167</v>
      </c>
    </row>
    <row r="260" ht="24.75" customHeight="true">
      <c r="A260" s="3260" t="n">
        <v>42353.33157407407</v>
      </c>
      <c r="B260" s="3261" t="n">
        <v>42353.33157407407</v>
      </c>
      <c r="C260" s="3262" t="s">
        <v>169</v>
      </c>
      <c r="D260" s="3263" t="s">
        <v>170</v>
      </c>
      <c r="E260" s="3264" t="s">
        <v>171</v>
      </c>
      <c r="F260" s="3265" t="s">
        <v>172</v>
      </c>
      <c r="G260" s="3266" t="n">
        <v>2.199074074074074E-4</v>
      </c>
      <c r="H260" s="3267" t="s">
        <v>174</v>
      </c>
      <c r="I260" s="3268" t="s">
        <v>109</v>
      </c>
      <c r="J260" s="3269" t="n">
        <v>0.0</v>
      </c>
      <c r="K260" s="3270" t="n">
        <v>-49.64</v>
      </c>
      <c r="L260" s="3271" t="s">
        <v>167</v>
      </c>
    </row>
    <row r="261" ht="24.75" customHeight="true">
      <c r="A261" s="3272" t="n">
        <v>42352.808217592596</v>
      </c>
      <c r="B261" s="3273" t="n">
        <v>42352.808217592596</v>
      </c>
      <c r="C261" s="3274" t="s">
        <v>169</v>
      </c>
      <c r="D261" s="3275" t="s">
        <v>170</v>
      </c>
      <c r="E261" s="3276" t="s">
        <v>171</v>
      </c>
      <c r="F261" s="3277" t="s">
        <v>172</v>
      </c>
      <c r="G261" s="3278" t="n">
        <v>3.125E-4</v>
      </c>
      <c r="H261" s="3279" t="s">
        <v>174</v>
      </c>
      <c r="I261" s="3280" t="s">
        <v>109</v>
      </c>
      <c r="J261" s="3281" t="n">
        <v>0.0</v>
      </c>
      <c r="K261" s="3282" t="n">
        <v>-49.64</v>
      </c>
      <c r="L261" s="3283" t="s">
        <v>167</v>
      </c>
    </row>
    <row r="262" ht="24.75" customHeight="true">
      <c r="A262" s="3284" t="n">
        <v>42352.80416666667</v>
      </c>
      <c r="B262" s="3285" t="n">
        <v>42352.80416666667</v>
      </c>
      <c r="C262" s="3286" t="s">
        <v>169</v>
      </c>
      <c r="D262" s="3287" t="s">
        <v>170</v>
      </c>
      <c r="E262" s="3288" t="s">
        <v>171</v>
      </c>
      <c r="F262" s="3289" t="s">
        <v>172</v>
      </c>
      <c r="G262" s="3290" t="n">
        <v>4.5138888888888887E-4</v>
      </c>
      <c r="H262" s="3291" t="s">
        <v>174</v>
      </c>
      <c r="I262" s="3292" t="s">
        <v>109</v>
      </c>
      <c r="J262" s="3293" t="n">
        <v>0.0</v>
      </c>
      <c r="K262" s="3294" t="n">
        <v>-49.64</v>
      </c>
      <c r="L262" s="3295" t="s">
        <v>167</v>
      </c>
    </row>
    <row r="263" ht="24.75" customHeight="true">
      <c r="A263" s="3296" t="n">
        <v>42352.68945601852</v>
      </c>
      <c r="B263" s="3297" t="n">
        <v>42352.68945601852</v>
      </c>
      <c r="C263" s="3298" t="s">
        <v>169</v>
      </c>
      <c r="D263" s="3299" t="s">
        <v>292</v>
      </c>
      <c r="E263" s="3300" t="s">
        <v>277</v>
      </c>
      <c r="F263" s="3301" t="s">
        <v>287</v>
      </c>
      <c r="G263" s="3302" t="n">
        <v>0.0022916666666666667</v>
      </c>
      <c r="H263" s="3303" t="s">
        <v>174</v>
      </c>
      <c r="I263" s="3304" t="s">
        <v>109</v>
      </c>
      <c r="J263" s="3305" t="n">
        <v>0.0</v>
      </c>
      <c r="K263" s="3306" t="n">
        <v>-49.64</v>
      </c>
      <c r="L263" s="3307" t="s">
        <v>167</v>
      </c>
    </row>
    <row r="264" ht="24.75" customHeight="true">
      <c r="A264" s="3308" t="n">
        <v>42352.5712037037</v>
      </c>
      <c r="B264" s="3309" t="n">
        <v>42352.5712037037</v>
      </c>
      <c r="C264" s="3310" t="s">
        <v>169</v>
      </c>
      <c r="D264" s="3311" t="s">
        <v>170</v>
      </c>
      <c r="E264" s="3312" t="s">
        <v>171</v>
      </c>
      <c r="F264" s="3313" t="s">
        <v>172</v>
      </c>
      <c r="G264" s="3314" t="n">
        <v>1.6203703703703703E-4</v>
      </c>
      <c r="H264" s="3315" t="s">
        <v>174</v>
      </c>
      <c r="I264" s="3316" t="s">
        <v>109</v>
      </c>
      <c r="J264" s="3317" t="n">
        <v>0.0</v>
      </c>
      <c r="K264" s="3318" t="n">
        <v>-49.64</v>
      </c>
      <c r="L264" s="3319" t="s">
        <v>167</v>
      </c>
    </row>
    <row r="265" ht="24.75" customHeight="true">
      <c r="A265" s="3320" t="n">
        <v>42352.520532407405</v>
      </c>
      <c r="B265" s="3321" t="n">
        <v>42352.520532407405</v>
      </c>
      <c r="C265" s="3322" t="s">
        <v>169</v>
      </c>
      <c r="D265" s="3323" t="s">
        <v>170</v>
      </c>
      <c r="E265" s="3324" t="s">
        <v>171</v>
      </c>
      <c r="F265" s="3325" t="s">
        <v>172</v>
      </c>
      <c r="G265" s="3326" t="n">
        <v>3.125E-4</v>
      </c>
      <c r="H265" s="3327" t="s">
        <v>174</v>
      </c>
      <c r="I265" s="3328" t="s">
        <v>109</v>
      </c>
      <c r="J265" s="3329" t="n">
        <v>0.0</v>
      </c>
      <c r="K265" s="3330" t="n">
        <v>-49.64</v>
      </c>
      <c r="L265" s="3331" t="s">
        <v>167</v>
      </c>
    </row>
    <row r="266" ht="24.75" customHeight="true">
      <c r="A266" s="3332" t="n">
        <v>42351.51777777778</v>
      </c>
      <c r="B266" s="3333" t="n">
        <v>42351.51777777778</v>
      </c>
      <c r="C266" s="3334" t="s">
        <v>169</v>
      </c>
      <c r="D266" s="3335" t="s">
        <v>292</v>
      </c>
      <c r="E266" s="3336" t="s">
        <v>277</v>
      </c>
      <c r="F266" s="3337" t="s">
        <v>287</v>
      </c>
      <c r="G266" s="3338" t="n">
        <v>2.3148148148148147E-5</v>
      </c>
      <c r="H266" s="3339" t="s">
        <v>174</v>
      </c>
      <c r="I266" s="3340" t="s">
        <v>109</v>
      </c>
      <c r="J266" s="3341" t="n">
        <v>0.0</v>
      </c>
      <c r="K266" s="3342" t="n">
        <v>-49.64</v>
      </c>
      <c r="L266" s="3343" t="s">
        <v>167</v>
      </c>
    </row>
    <row r="267" ht="24.75" customHeight="true">
      <c r="A267" s="3344" t="n">
        <v>42351.50491898148</v>
      </c>
      <c r="B267" s="3345" t="n">
        <v>42351.50491898148</v>
      </c>
      <c r="C267" s="3346" t="s">
        <v>169</v>
      </c>
      <c r="D267" s="3347" t="s">
        <v>170</v>
      </c>
      <c r="E267" s="3348" t="s">
        <v>171</v>
      </c>
      <c r="F267" s="3349" t="s">
        <v>172</v>
      </c>
      <c r="G267" s="3350" t="n">
        <v>5.671296296296297E-4</v>
      </c>
      <c r="H267" s="3351" t="s">
        <v>174</v>
      </c>
      <c r="I267" s="3352" t="s">
        <v>109</v>
      </c>
      <c r="J267" s="3353" t="n">
        <v>0.0</v>
      </c>
      <c r="K267" s="3354" t="n">
        <v>-49.64</v>
      </c>
      <c r="L267" s="3355" t="s">
        <v>167</v>
      </c>
    </row>
    <row r="268" ht="24.75" customHeight="true">
      <c r="A268" s="3356" t="n">
        <v>42351.04765046296</v>
      </c>
      <c r="B268" s="3357" t="n">
        <v>42351.04765046296</v>
      </c>
      <c r="C268" s="3358" t="s">
        <v>204</v>
      </c>
      <c r="D268" s="3359" t="s">
        <v>205</v>
      </c>
      <c r="E268" s="3360" t="s">
        <v>183</v>
      </c>
      <c r="F268" s="3361" t="s">
        <v>183</v>
      </c>
      <c r="G268" s="3362" t="s">
        <v>206</v>
      </c>
      <c r="H268" s="3363" t="s">
        <v>183</v>
      </c>
      <c r="I268" s="3364" t="s">
        <v>109</v>
      </c>
      <c r="J268" s="3365" t="n">
        <v>-100.0</v>
      </c>
      <c r="K268" s="3366" t="n">
        <v>-49.64</v>
      </c>
      <c r="L268" s="3367" t="s">
        <v>167</v>
      </c>
    </row>
    <row r="269" ht="24.75" customHeight="true">
      <c r="A269" s="3368" t="n">
        <v>42351.04765046296</v>
      </c>
      <c r="B269" s="3369" t="n">
        <v>42351.04765046296</v>
      </c>
      <c r="C269" s="3370" t="s">
        <v>208</v>
      </c>
      <c r="D269" s="3371" t="s">
        <v>205</v>
      </c>
      <c r="E269" s="3372" t="s">
        <v>183</v>
      </c>
      <c r="F269" s="3373" t="s">
        <v>183</v>
      </c>
      <c r="G269" s="3374" t="s">
        <v>206</v>
      </c>
      <c r="H269" s="3375" t="s">
        <v>183</v>
      </c>
      <c r="I269" s="3376" t="s">
        <v>109</v>
      </c>
      <c r="J269" s="3377" t="n">
        <v>-15.0</v>
      </c>
      <c r="K269" s="3378" t="n">
        <v>50.36</v>
      </c>
      <c r="L269" s="3379" t="s">
        <v>167</v>
      </c>
    </row>
    <row r="270" ht="24.75" customHeight="true">
      <c r="A270" s="3380" t="n">
        <v>42350.85092592592</v>
      </c>
      <c r="B270" s="3381" t="n">
        <v>42350.85092592592</v>
      </c>
      <c r="C270" s="3382" t="s">
        <v>169</v>
      </c>
      <c r="D270" s="3383" t="s">
        <v>170</v>
      </c>
      <c r="E270" s="3384" t="s">
        <v>171</v>
      </c>
      <c r="F270" s="3385" t="s">
        <v>172</v>
      </c>
      <c r="G270" s="3386" t="n">
        <v>2.662037037037037E-4</v>
      </c>
      <c r="H270" s="3387" t="s">
        <v>174</v>
      </c>
      <c r="I270" s="3388" t="s">
        <v>109</v>
      </c>
      <c r="J270" s="3389" t="n">
        <v>0.0</v>
      </c>
      <c r="K270" s="3390" t="n">
        <v>65.36</v>
      </c>
      <c r="L270" s="3391" t="s">
        <v>167</v>
      </c>
    </row>
    <row r="271" ht="24.75" customHeight="true">
      <c r="A271" s="3392" t="n">
        <v>42350.780694444446</v>
      </c>
      <c r="B271" s="3393" t="n">
        <v>42350.780694444446</v>
      </c>
      <c r="C271" s="3394" t="s">
        <v>169</v>
      </c>
      <c r="D271" s="3395" t="s">
        <v>170</v>
      </c>
      <c r="E271" s="3396" t="s">
        <v>171</v>
      </c>
      <c r="F271" s="3397" t="s">
        <v>172</v>
      </c>
      <c r="G271" s="3398" t="n">
        <v>6.944444444444445E-4</v>
      </c>
      <c r="H271" s="3399" t="s">
        <v>174</v>
      </c>
      <c r="I271" s="3400" t="s">
        <v>109</v>
      </c>
      <c r="J271" s="3401" t="n">
        <v>0.0</v>
      </c>
      <c r="K271" s="3402" t="n">
        <v>65.36</v>
      </c>
      <c r="L271" s="3403" t="s">
        <v>167</v>
      </c>
    </row>
    <row r="272" ht="24.75" customHeight="true">
      <c r="A272" s="3404" t="n">
        <v>42350.76524305555</v>
      </c>
      <c r="B272" s="3405" t="n">
        <v>42350.76524305555</v>
      </c>
      <c r="C272" s="3406" t="s">
        <v>281</v>
      </c>
      <c r="D272" s="3407" t="s">
        <v>282</v>
      </c>
      <c r="E272" s="3408" t="s">
        <v>183</v>
      </c>
      <c r="F272" s="3409" t="s">
        <v>183</v>
      </c>
      <c r="G272" s="3410" t="n">
        <v>4.6296296296296294E-5</v>
      </c>
      <c r="H272" s="3411" t="s">
        <v>174</v>
      </c>
      <c r="I272" s="3412" t="s">
        <v>109</v>
      </c>
      <c r="J272" s="3413" t="n">
        <v>0.0</v>
      </c>
      <c r="K272" s="3414" t="n">
        <v>65.36</v>
      </c>
      <c r="L272" s="3415" t="s">
        <v>167</v>
      </c>
    </row>
    <row r="273" ht="24.75" customHeight="true">
      <c r="A273" s="3416" t="n">
        <v>42350.76524305555</v>
      </c>
      <c r="B273" s="3417" t="n">
        <v>42350.76524305555</v>
      </c>
      <c r="C273" s="3418" t="s">
        <v>284</v>
      </c>
      <c r="D273" s="3419" t="s">
        <v>170</v>
      </c>
      <c r="E273" s="3420" t="s">
        <v>171</v>
      </c>
      <c r="F273" s="3421" t="s">
        <v>172</v>
      </c>
      <c r="G273" s="3422" t="n">
        <v>4.6296296296296294E-5</v>
      </c>
      <c r="H273" s="3423" t="s">
        <v>174</v>
      </c>
      <c r="I273" s="3424" t="s">
        <v>109</v>
      </c>
      <c r="J273" s="3425" t="n">
        <v>0.0</v>
      </c>
      <c r="K273" s="3426" t="n">
        <v>65.36</v>
      </c>
      <c r="L273" s="3427" t="s">
        <v>167</v>
      </c>
    </row>
    <row r="274" ht="24.75" customHeight="true">
      <c r="A274" s="3428" t="n">
        <v>42350.76440972222</v>
      </c>
      <c r="B274" s="3429" t="n">
        <v>42350.76440972222</v>
      </c>
      <c r="C274" s="3430" t="s">
        <v>281</v>
      </c>
      <c r="D274" s="3431" t="s">
        <v>282</v>
      </c>
      <c r="E274" s="3432" t="s">
        <v>183</v>
      </c>
      <c r="F274" s="3433" t="s">
        <v>183</v>
      </c>
      <c r="G274" s="3434" t="n">
        <v>1.1574074074074073E-5</v>
      </c>
      <c r="H274" s="3435" t="s">
        <v>174</v>
      </c>
      <c r="I274" s="3436" t="s">
        <v>109</v>
      </c>
      <c r="J274" s="3437" t="n">
        <v>0.0</v>
      </c>
      <c r="K274" s="3438" t="n">
        <v>65.36</v>
      </c>
      <c r="L274" s="3439" t="s">
        <v>167</v>
      </c>
    </row>
    <row r="275" ht="24.75" customHeight="true">
      <c r="A275" s="3440" t="n">
        <v>42350.76440972222</v>
      </c>
      <c r="B275" s="3441" t="n">
        <v>42350.76440972222</v>
      </c>
      <c r="C275" s="3442" t="s">
        <v>284</v>
      </c>
      <c r="D275" s="3443" t="s">
        <v>170</v>
      </c>
      <c r="E275" s="3444" t="s">
        <v>171</v>
      </c>
      <c r="F275" s="3445" t="s">
        <v>172</v>
      </c>
      <c r="G275" s="3446" t="n">
        <v>1.1574074074074073E-5</v>
      </c>
      <c r="H275" s="3447" t="s">
        <v>174</v>
      </c>
      <c r="I275" s="3448" t="s">
        <v>109</v>
      </c>
      <c r="J275" s="3449" t="n">
        <v>0.0</v>
      </c>
      <c r="K275" s="3450" t="n">
        <v>65.36</v>
      </c>
      <c r="L275" s="3451" t="s">
        <v>167</v>
      </c>
    </row>
    <row r="276" ht="24.75" customHeight="true">
      <c r="A276" s="3452" t="n">
        <v>42350.102488425924</v>
      </c>
      <c r="B276" s="3453" t="n">
        <v>42350.102488425924</v>
      </c>
      <c r="C276" s="3454" t="s">
        <v>231</v>
      </c>
      <c r="D276" s="3455" t="s">
        <v>205</v>
      </c>
      <c r="E276" s="3456" t="s">
        <v>183</v>
      </c>
      <c r="F276" s="3457" t="s">
        <v>183</v>
      </c>
      <c r="G276" s="3458" t="s">
        <v>206</v>
      </c>
      <c r="H276" s="3459" t="s">
        <v>183</v>
      </c>
      <c r="I276" s="3460" t="s">
        <v>109</v>
      </c>
      <c r="J276" s="3461" t="n">
        <v>-5.0</v>
      </c>
      <c r="K276" s="3462" t="n">
        <v>65.36</v>
      </c>
      <c r="L276" s="3463" t="s">
        <v>167</v>
      </c>
    </row>
    <row r="277" ht="24.75" customHeight="true">
      <c r="A277" s="3464" t="n">
        <v>42349.7578587963</v>
      </c>
      <c r="B277" s="3465" t="n">
        <v>42349.7578587963</v>
      </c>
      <c r="C277" s="3466" t="s">
        <v>209</v>
      </c>
      <c r="D277" s="3467" t="s">
        <v>170</v>
      </c>
      <c r="E277" s="3468" t="s">
        <v>171</v>
      </c>
      <c r="F277" s="3469" t="s">
        <v>172</v>
      </c>
      <c r="G277" s="3470" t="n">
        <v>6.25E-4</v>
      </c>
      <c r="H277" s="3471" t="s">
        <v>174</v>
      </c>
      <c r="I277" s="3472" t="s">
        <v>109</v>
      </c>
      <c r="J277" s="3473" t="n">
        <v>0.0</v>
      </c>
      <c r="K277" s="3474" t="n">
        <v>70.36</v>
      </c>
      <c r="L277" s="3475" t="s">
        <v>167</v>
      </c>
    </row>
    <row r="278" ht="24.75" customHeight="true">
      <c r="A278" s="3476" t="n">
        <v>42349.62841435185</v>
      </c>
      <c r="B278" s="3477" t="n">
        <v>42349.62841435185</v>
      </c>
      <c r="C278" s="3478" t="s">
        <v>209</v>
      </c>
      <c r="D278" s="3479" t="s">
        <v>170</v>
      </c>
      <c r="E278" s="3480" t="s">
        <v>171</v>
      </c>
      <c r="F278" s="3481" t="s">
        <v>172</v>
      </c>
      <c r="G278" s="3482" t="n">
        <v>7.87037037037037E-4</v>
      </c>
      <c r="H278" s="3483" t="s">
        <v>174</v>
      </c>
      <c r="I278" s="3484" t="s">
        <v>109</v>
      </c>
      <c r="J278" s="3485" t="n">
        <v>0.0</v>
      </c>
      <c r="K278" s="3486" t="n">
        <v>70.36</v>
      </c>
      <c r="L278" s="3487" t="s">
        <v>167</v>
      </c>
    </row>
    <row r="279" ht="24.75" customHeight="true">
      <c r="A279" s="3488" t="n">
        <v>42349.62401620371</v>
      </c>
      <c r="B279" s="3489" t="n">
        <v>42349.62401620371</v>
      </c>
      <c r="C279" s="3490" t="s">
        <v>209</v>
      </c>
      <c r="D279" s="3491" t="s">
        <v>339</v>
      </c>
      <c r="E279" s="3492" t="s">
        <v>277</v>
      </c>
      <c r="F279" s="3493" t="s">
        <v>172</v>
      </c>
      <c r="G279" s="3494" t="n">
        <v>0.0012152777777777778</v>
      </c>
      <c r="H279" s="3495" t="s">
        <v>174</v>
      </c>
      <c r="I279" s="3496" t="s">
        <v>109</v>
      </c>
      <c r="J279" s="3497" t="n">
        <v>-2.0</v>
      </c>
      <c r="K279" s="3498" t="n">
        <v>70.36</v>
      </c>
      <c r="L279" s="3499" t="s">
        <v>167</v>
      </c>
    </row>
    <row r="280" ht="24.75" customHeight="true">
      <c r="A280" s="3500" t="n">
        <v>42349.493125</v>
      </c>
      <c r="B280" s="3501" t="n">
        <v>42349.493125</v>
      </c>
      <c r="C280" s="3502" t="s">
        <v>126</v>
      </c>
      <c r="D280" s="3503" t="s">
        <v>205</v>
      </c>
      <c r="E280" s="3504" t="s">
        <v>183</v>
      </c>
      <c r="F280" s="3505" t="s">
        <v>183</v>
      </c>
      <c r="G280" s="3506" t="n">
        <v>1681.0</v>
      </c>
      <c r="H280" s="3507" t="s">
        <v>218</v>
      </c>
      <c r="I280" s="3508" t="s">
        <v>109</v>
      </c>
      <c r="J280" s="3509" t="n">
        <v>0.0</v>
      </c>
      <c r="K280" s="3510" t="s">
        <v>206</v>
      </c>
      <c r="L280" s="3511" t="s">
        <v>167</v>
      </c>
    </row>
    <row r="281" ht="24.75" customHeight="true">
      <c r="A281" s="3512" t="n">
        <v>42349.33560185185</v>
      </c>
      <c r="B281" s="3513" t="n">
        <v>42349.33560185185</v>
      </c>
      <c r="C281" s="3514" t="s">
        <v>231</v>
      </c>
      <c r="D281" s="3515" t="s">
        <v>205</v>
      </c>
      <c r="E281" s="3516" t="s">
        <v>183</v>
      </c>
      <c r="F281" s="3517" t="s">
        <v>183</v>
      </c>
      <c r="G281" s="3518" t="s">
        <v>206</v>
      </c>
      <c r="H281" s="3519" t="s">
        <v>183</v>
      </c>
      <c r="I281" s="3520" t="s">
        <v>109</v>
      </c>
      <c r="J281" s="3521" t="n">
        <v>-5.0</v>
      </c>
      <c r="K281" s="3522" t="n">
        <v>72.36</v>
      </c>
      <c r="L281" s="3523" t="s">
        <v>167</v>
      </c>
    </row>
    <row r="282" ht="24.75" customHeight="true">
      <c r="A282" s="3524" t="n">
        <v>42349.020833333336</v>
      </c>
      <c r="B282" s="3525" t="n">
        <v>42349.020833333336</v>
      </c>
      <c r="C282" s="3526" t="s">
        <v>126</v>
      </c>
      <c r="D282" s="3527" t="s">
        <v>205</v>
      </c>
      <c r="E282" s="3528" t="s">
        <v>183</v>
      </c>
      <c r="F282" s="3529" t="s">
        <v>183</v>
      </c>
      <c r="G282" s="3530" t="n">
        <v>14.0</v>
      </c>
      <c r="H282" s="3531" t="s">
        <v>218</v>
      </c>
      <c r="I282" s="3532" t="s">
        <v>109</v>
      </c>
      <c r="J282" s="3533" t="n">
        <v>0.0</v>
      </c>
      <c r="K282" s="3534" t="s">
        <v>206</v>
      </c>
      <c r="L282" s="3535" t="s">
        <v>167</v>
      </c>
    </row>
    <row r="283" ht="24.75" customHeight="true">
      <c r="A283" s="3536" t="n">
        <v>42348.97597222222</v>
      </c>
      <c r="B283" s="3537" t="n">
        <v>42348.97597222222</v>
      </c>
      <c r="C283" s="3538" t="s">
        <v>209</v>
      </c>
      <c r="D283" s="3539" t="s">
        <v>170</v>
      </c>
      <c r="E283" s="3540" t="s">
        <v>171</v>
      </c>
      <c r="F283" s="3541" t="s">
        <v>172</v>
      </c>
      <c r="G283" s="3542" t="n">
        <v>5.439814814814814E-4</v>
      </c>
      <c r="H283" s="3543" t="s">
        <v>174</v>
      </c>
      <c r="I283" s="3544" t="s">
        <v>109</v>
      </c>
      <c r="J283" s="3545" t="n">
        <v>0.0</v>
      </c>
      <c r="K283" s="3546" t="n">
        <v>77.36</v>
      </c>
      <c r="L283" s="3547" t="s">
        <v>167</v>
      </c>
    </row>
    <row r="284" ht="24.75" customHeight="true">
      <c r="A284" s="3548" t="n">
        <v>42348.975011574075</v>
      </c>
      <c r="B284" s="3549" t="n">
        <v>42348.975011574075</v>
      </c>
      <c r="C284" s="3550" t="s">
        <v>281</v>
      </c>
      <c r="D284" s="3551" t="s">
        <v>282</v>
      </c>
      <c r="E284" s="3552" t="s">
        <v>183</v>
      </c>
      <c r="F284" s="3553" t="s">
        <v>183</v>
      </c>
      <c r="G284" s="3554" t="n">
        <v>1.1574074074074073E-5</v>
      </c>
      <c r="H284" s="3555" t="s">
        <v>174</v>
      </c>
      <c r="I284" s="3556" t="s">
        <v>109</v>
      </c>
      <c r="J284" s="3557" t="n">
        <v>0.0</v>
      </c>
      <c r="K284" s="3558" t="n">
        <v>77.36</v>
      </c>
      <c r="L284" s="3559" t="s">
        <v>167</v>
      </c>
    </row>
    <row r="285" ht="24.75" customHeight="true">
      <c r="A285" s="3560" t="n">
        <v>42348.975011574075</v>
      </c>
      <c r="B285" s="3561" t="n">
        <v>42348.975011574075</v>
      </c>
      <c r="C285" s="3562" t="s">
        <v>284</v>
      </c>
      <c r="D285" s="3563" t="s">
        <v>170</v>
      </c>
      <c r="E285" s="3564" t="s">
        <v>171</v>
      </c>
      <c r="F285" s="3565" t="s">
        <v>172</v>
      </c>
      <c r="G285" s="3566" t="n">
        <v>1.1574074074074073E-5</v>
      </c>
      <c r="H285" s="3567" t="s">
        <v>174</v>
      </c>
      <c r="I285" s="3568" t="s">
        <v>109</v>
      </c>
      <c r="J285" s="3569" t="n">
        <v>0.0</v>
      </c>
      <c r="K285" s="3570" t="n">
        <v>77.36</v>
      </c>
      <c r="L285" s="3571" t="s">
        <v>167</v>
      </c>
    </row>
    <row r="286" ht="24.75" customHeight="true">
      <c r="A286" s="3572" t="n">
        <v>42348.94462962963</v>
      </c>
      <c r="B286" s="3573" t="n">
        <v>42348.94462962963</v>
      </c>
      <c r="C286" s="3574" t="s">
        <v>281</v>
      </c>
      <c r="D286" s="3575" t="s">
        <v>282</v>
      </c>
      <c r="E286" s="3576" t="s">
        <v>183</v>
      </c>
      <c r="F286" s="3577" t="s">
        <v>183</v>
      </c>
      <c r="G286" s="3578" t="n">
        <v>6.944444444444444E-5</v>
      </c>
      <c r="H286" s="3579" t="s">
        <v>174</v>
      </c>
      <c r="I286" s="3580" t="s">
        <v>109</v>
      </c>
      <c r="J286" s="3581" t="n">
        <v>0.0</v>
      </c>
      <c r="K286" s="3582" t="n">
        <v>77.36</v>
      </c>
      <c r="L286" s="3583" t="s">
        <v>167</v>
      </c>
    </row>
    <row r="287" ht="24.75" customHeight="true">
      <c r="A287" s="3584" t="n">
        <v>42348.94462962963</v>
      </c>
      <c r="B287" s="3585" t="n">
        <v>42348.94462962963</v>
      </c>
      <c r="C287" s="3586" t="s">
        <v>284</v>
      </c>
      <c r="D287" s="3587" t="s">
        <v>170</v>
      </c>
      <c r="E287" s="3588" t="s">
        <v>171</v>
      </c>
      <c r="F287" s="3589" t="s">
        <v>172</v>
      </c>
      <c r="G287" s="3590" t="n">
        <v>6.944444444444444E-5</v>
      </c>
      <c r="H287" s="3591" t="s">
        <v>174</v>
      </c>
      <c r="I287" s="3592" t="s">
        <v>109</v>
      </c>
      <c r="J287" s="3593" t="n">
        <v>0.0</v>
      </c>
      <c r="K287" s="3594" t="n">
        <v>77.36</v>
      </c>
      <c r="L287" s="3595" t="s">
        <v>167</v>
      </c>
    </row>
    <row r="288" ht="24.75" customHeight="true">
      <c r="A288" s="3596" t="n">
        <v>42348.90243055556</v>
      </c>
      <c r="B288" s="3597" t="n">
        <v>42348.90243055556</v>
      </c>
      <c r="C288" s="3598" t="s">
        <v>169</v>
      </c>
      <c r="D288" s="3599" t="s">
        <v>186</v>
      </c>
      <c r="E288" s="3600" t="s">
        <v>171</v>
      </c>
      <c r="F288" s="3601" t="s">
        <v>172</v>
      </c>
      <c r="G288" s="3602" t="n">
        <v>0.001412037037037037</v>
      </c>
      <c r="H288" s="3603" t="s">
        <v>174</v>
      </c>
      <c r="I288" s="3604" t="s">
        <v>109</v>
      </c>
      <c r="J288" s="3605" t="n">
        <v>0.0</v>
      </c>
      <c r="K288" s="3606" t="n">
        <v>77.36</v>
      </c>
      <c r="L288" s="3607" t="s">
        <v>167</v>
      </c>
    </row>
    <row r="289" ht="24.75" customHeight="true">
      <c r="A289" s="3608" t="n">
        <v>42348.892696759256</v>
      </c>
      <c r="B289" s="3609" t="n">
        <v>42348.892696759256</v>
      </c>
      <c r="C289" s="3610" t="s">
        <v>169</v>
      </c>
      <c r="D289" s="3611" t="s">
        <v>186</v>
      </c>
      <c r="E289" s="3612" t="s">
        <v>171</v>
      </c>
      <c r="F289" s="3613" t="s">
        <v>172</v>
      </c>
      <c r="G289" s="3614" t="n">
        <v>4.62962962962963E-4</v>
      </c>
      <c r="H289" s="3615" t="s">
        <v>174</v>
      </c>
      <c r="I289" s="3616" t="s">
        <v>109</v>
      </c>
      <c r="J289" s="3617" t="n">
        <v>0.0</v>
      </c>
      <c r="K289" s="3618" t="n">
        <v>77.36</v>
      </c>
      <c r="L289" s="3619" t="s">
        <v>167</v>
      </c>
    </row>
    <row r="290" ht="24.75" customHeight="true">
      <c r="A290" s="3620" t="n">
        <v>42348.88224537037</v>
      </c>
      <c r="B290" s="3621" t="n">
        <v>42348.88224537037</v>
      </c>
      <c r="C290" s="3622" t="s">
        <v>209</v>
      </c>
      <c r="D290" s="3623" t="s">
        <v>186</v>
      </c>
      <c r="E290" s="3624" t="s">
        <v>171</v>
      </c>
      <c r="F290" s="3625" t="s">
        <v>172</v>
      </c>
      <c r="G290" s="3626" t="n">
        <v>9.606481481481482E-4</v>
      </c>
      <c r="H290" s="3627" t="s">
        <v>174</v>
      </c>
      <c r="I290" s="3628" t="s">
        <v>109</v>
      </c>
      <c r="J290" s="3629" t="n">
        <v>0.0</v>
      </c>
      <c r="K290" s="3630" t="n">
        <v>77.36</v>
      </c>
      <c r="L290" s="3631" t="s">
        <v>167</v>
      </c>
    </row>
    <row r="291" ht="24.75" customHeight="true">
      <c r="A291" s="3632" t="n">
        <v>42348.80951388889</v>
      </c>
      <c r="B291" s="3633" t="n">
        <v>42348.80951388889</v>
      </c>
      <c r="C291" s="3634" t="s">
        <v>169</v>
      </c>
      <c r="D291" s="3635" t="s">
        <v>261</v>
      </c>
      <c r="E291" s="3636" t="s">
        <v>262</v>
      </c>
      <c r="F291" s="3637" t="s">
        <v>172</v>
      </c>
      <c r="G291" s="3638" t="n">
        <v>1.388888888888889E-4</v>
      </c>
      <c r="H291" s="3639" t="s">
        <v>174</v>
      </c>
      <c r="I291" s="3640" t="s">
        <v>109</v>
      </c>
      <c r="J291" s="3641" t="n">
        <v>0.0</v>
      </c>
      <c r="K291" s="3642" t="n">
        <v>77.36</v>
      </c>
      <c r="L291" s="3643" t="s">
        <v>167</v>
      </c>
    </row>
    <row r="292" ht="24.75" customHeight="true">
      <c r="A292" s="3644" t="n">
        <v>42348.7969212963</v>
      </c>
      <c r="B292" s="3645" t="n">
        <v>42348.7969212963</v>
      </c>
      <c r="C292" s="3646" t="s">
        <v>169</v>
      </c>
      <c r="D292" s="3647" t="s">
        <v>261</v>
      </c>
      <c r="E292" s="3648" t="s">
        <v>262</v>
      </c>
      <c r="F292" s="3649" t="s">
        <v>172</v>
      </c>
      <c r="G292" s="3650" t="n">
        <v>1.9675925925925926E-4</v>
      </c>
      <c r="H292" s="3651" t="s">
        <v>174</v>
      </c>
      <c r="I292" s="3652" t="s">
        <v>109</v>
      </c>
      <c r="J292" s="3653" t="n">
        <v>0.0</v>
      </c>
      <c r="K292" s="3654" t="n">
        <v>77.36</v>
      </c>
      <c r="L292" s="3655" t="s">
        <v>167</v>
      </c>
    </row>
    <row r="293" ht="24.75" customHeight="true">
      <c r="A293" s="3656" t="n">
        <v>42348.72859953704</v>
      </c>
      <c r="B293" s="3657" t="n">
        <v>42348.72859953704</v>
      </c>
      <c r="C293" s="3658" t="s">
        <v>343</v>
      </c>
      <c r="D293" s="3659" t="s">
        <v>344</v>
      </c>
      <c r="E293" s="3660" t="s">
        <v>183</v>
      </c>
      <c r="F293" s="3661" t="s">
        <v>183</v>
      </c>
      <c r="G293" s="3662" t="s">
        <v>206</v>
      </c>
      <c r="H293" s="3663" t="s">
        <v>183</v>
      </c>
      <c r="I293" s="3664" t="s">
        <v>109</v>
      </c>
      <c r="J293" s="3665" t="n">
        <v>-8.0</v>
      </c>
      <c r="K293" s="3666" t="n">
        <v>77.36</v>
      </c>
      <c r="L293" s="3667" t="s">
        <v>167</v>
      </c>
    </row>
    <row r="294" ht="24.75" customHeight="true">
      <c r="A294" s="3668" t="n">
        <v>42348.725069444445</v>
      </c>
      <c r="B294" s="3669" t="n">
        <v>42348.725069444445</v>
      </c>
      <c r="C294" s="3670" t="s">
        <v>343</v>
      </c>
      <c r="D294" s="3671" t="s">
        <v>344</v>
      </c>
      <c r="E294" s="3672" t="s">
        <v>183</v>
      </c>
      <c r="F294" s="3673" t="s">
        <v>183</v>
      </c>
      <c r="G294" s="3674" t="s">
        <v>206</v>
      </c>
      <c r="H294" s="3675" t="s">
        <v>183</v>
      </c>
      <c r="I294" s="3676" t="s">
        <v>109</v>
      </c>
      <c r="J294" s="3677" t="n">
        <v>-8.0</v>
      </c>
      <c r="K294" s="3678" t="n">
        <v>85.36</v>
      </c>
      <c r="L294" s="3679" t="s">
        <v>167</v>
      </c>
    </row>
    <row r="295" ht="24.75" customHeight="true">
      <c r="A295" s="3680" t="n">
        <v>42348.70798611111</v>
      </c>
      <c r="B295" s="3681" t="n">
        <v>42348.70798611111</v>
      </c>
      <c r="C295" s="3682" t="s">
        <v>345</v>
      </c>
      <c r="D295" s="3683" t="s">
        <v>346</v>
      </c>
      <c r="E295" s="3684" t="s">
        <v>183</v>
      </c>
      <c r="F295" s="3685" t="s">
        <v>183</v>
      </c>
      <c r="G295" s="3686" t="n">
        <v>1.0</v>
      </c>
      <c r="H295" s="3687" t="s">
        <v>348</v>
      </c>
      <c r="I295" s="3688" t="s">
        <v>109</v>
      </c>
      <c r="J295" s="3689" t="n">
        <v>-1.0</v>
      </c>
      <c r="K295" s="3690" t="n">
        <v>93.36</v>
      </c>
      <c r="L295" s="3691" t="s">
        <v>167</v>
      </c>
    </row>
    <row r="296" ht="24.75" customHeight="true">
      <c r="A296" s="3692" t="n">
        <v>42348.70732638889</v>
      </c>
      <c r="B296" s="3693" t="n">
        <v>42348.70732638889</v>
      </c>
      <c r="C296" s="3694" t="s">
        <v>345</v>
      </c>
      <c r="D296" s="3695" t="s">
        <v>346</v>
      </c>
      <c r="E296" s="3696" t="s">
        <v>183</v>
      </c>
      <c r="F296" s="3697" t="s">
        <v>183</v>
      </c>
      <c r="G296" s="3698" t="n">
        <v>1.0</v>
      </c>
      <c r="H296" s="3699" t="s">
        <v>348</v>
      </c>
      <c r="I296" s="3700" t="s">
        <v>109</v>
      </c>
      <c r="J296" s="3701" t="n">
        <v>-1.0</v>
      </c>
      <c r="K296" s="3702" t="n">
        <v>94.36</v>
      </c>
      <c r="L296" s="3703" t="s">
        <v>167</v>
      </c>
    </row>
    <row r="297" ht="24.75" customHeight="true">
      <c r="A297" s="3704" t="n">
        <v>42348.70707175926</v>
      </c>
      <c r="B297" s="3705" t="n">
        <v>42348.70707175926</v>
      </c>
      <c r="C297" s="3706" t="s">
        <v>257</v>
      </c>
      <c r="D297" s="3707" t="s">
        <v>205</v>
      </c>
      <c r="E297" s="3708" t="s">
        <v>183</v>
      </c>
      <c r="F297" s="3709" t="s">
        <v>183</v>
      </c>
      <c r="G297" s="3710" t="s">
        <v>206</v>
      </c>
      <c r="H297" s="3711" t="s">
        <v>183</v>
      </c>
      <c r="I297" s="3712" t="s">
        <v>109</v>
      </c>
      <c r="J297" s="3713" t="n">
        <v>100.0</v>
      </c>
      <c r="K297" s="3714" t="n">
        <v>95.36</v>
      </c>
      <c r="L297" s="3715" t="s">
        <v>167</v>
      </c>
    </row>
    <row r="298" ht="24.75" customHeight="true">
      <c r="A298" s="3716" t="n">
        <v>42348.70625</v>
      </c>
      <c r="B298" s="3717" t="n">
        <v>42348.70625</v>
      </c>
      <c r="C298" s="3718" t="s">
        <v>345</v>
      </c>
      <c r="D298" s="3719" t="s">
        <v>346</v>
      </c>
      <c r="E298" s="3720" t="s">
        <v>183</v>
      </c>
      <c r="F298" s="3721" t="s">
        <v>183</v>
      </c>
      <c r="G298" s="3722" t="n">
        <v>1.0</v>
      </c>
      <c r="H298" s="3723" t="s">
        <v>348</v>
      </c>
      <c r="I298" s="3724" t="s">
        <v>109</v>
      </c>
      <c r="J298" s="3725" t="n">
        <v>0.0</v>
      </c>
      <c r="K298" s="3726" t="n">
        <v>-4.64</v>
      </c>
      <c r="L298" s="3727" t="s">
        <v>167</v>
      </c>
    </row>
    <row r="299" ht="24.75" customHeight="true">
      <c r="A299" s="3728" t="n">
        <v>42348.1009375</v>
      </c>
      <c r="B299" s="3729" t="n">
        <v>42348.1009375</v>
      </c>
      <c r="C299" s="3730" t="s">
        <v>231</v>
      </c>
      <c r="D299" s="3731" t="s">
        <v>205</v>
      </c>
      <c r="E299" s="3732" t="s">
        <v>183</v>
      </c>
      <c r="F299" s="3733" t="s">
        <v>183</v>
      </c>
      <c r="G299" s="3734" t="s">
        <v>206</v>
      </c>
      <c r="H299" s="3735" t="s">
        <v>183</v>
      </c>
      <c r="I299" s="3736" t="s">
        <v>109</v>
      </c>
      <c r="J299" s="3737" t="n">
        <v>-5.0</v>
      </c>
      <c r="K299" s="3738" t="n">
        <v>-4.64</v>
      </c>
      <c r="L299" s="3739" t="s">
        <v>167</v>
      </c>
    </row>
    <row r="300" spans="1:125" s="1" customFormat="1" ht="24.75" customHeight="true">
      <c r="A300" s="36"/>
      <c r="B300" s="37"/>
      <c r="C300" s="38"/>
      <c r="D300" s="23"/>
      <c r="E300" s="24"/>
      <c r="F300" s="25"/>
      <c r="G300" s="26"/>
      <c r="H300" s="3"/>
      <c r="I300" s="27"/>
      <c r="J300" s="33"/>
      <c r="K300" s="34"/>
      <c r="L300" s="28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 spans="1:125" ht="24.75" customHeight="true">
      <c r="A301" s="172" t="s">
        <v>11</v>
      </c>
      <c r="B301" s="172"/>
      <c r="C301" s="127" t="n">
        <v>-315.0</v>
      </c>
      <c r="D301" s="3" t="s">
        <v>167</v>
      </c>
      <c r="E301" s="35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125" ht="24.75" customHeight="true">
      <c r="A302" s="172" t="s">
        <v>12</v>
      </c>
      <c r="B302" s="172"/>
      <c r="C302" s="127" t="n">
        <v>280.0</v>
      </c>
      <c r="D302" s="3" t="s">
        <v>167</v>
      </c>
      <c r="E302" s="35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125" ht="24.75" customHeight="true">
      <c r="A303" s="172" t="s">
        <v>13</v>
      </c>
      <c r="B303" s="172"/>
      <c r="C303" s="2" t="n">
        <v>0.0</v>
      </c>
      <c r="D303" s="3" t="s">
        <v>168</v>
      </c>
      <c r="E303" s="35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125" ht="24.75" customHeight="true">
      <c r="A304" s="173" t="s">
        <v>14</v>
      </c>
      <c r="B304" s="173"/>
      <c r="C304" s="8" t="s">
        <f>SUM(C301,C302)</f>
      </c>
      <c r="D304" s="9" t="s">
        <v>167</v>
      </c>
      <c r="E304" s="35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125" s="59" customFormat="1" ht="24.75" customHeight="true">
      <c r="A305" s="174" t="s">
        <v>65</v>
      </c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</row>
    <row r="306" spans="1:125" ht="24.75" customHeight="true">
      <c r="A306" s="6"/>
      <c r="B306" s="6"/>
      <c r="C306" s="4"/>
      <c r="D306" s="5"/>
      <c r="E306" s="35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125" ht="24.75" customHeight="true">
      <c r="A307" s="6"/>
      <c r="B307" s="6"/>
      <c r="C307" s="4"/>
      <c r="D307" s="5"/>
      <c r="E307" s="3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 spans="1:25" ht="24.75" customHeight="true">
      <c r="A308" s="6"/>
      <c r="B308" s="6"/>
      <c r="C308" s="4"/>
      <c r="D308" s="5"/>
      <c r="E308" s="3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 spans="1:25" ht="24.75" customHeight="true">
      <c r="S309" s="18"/>
      <c r="T309" s="18"/>
      <c r="U309" s="18"/>
      <c r="V309" s="18"/>
      <c r="W309" s="18"/>
      <c r="X309" s="18"/>
      <c r="Y309" s="18"/>
    </row>
    <row r="310" spans="1:25">
      <c r="S310" s="18"/>
      <c r="T310" s="18"/>
      <c r="U310" s="18"/>
      <c r="V310" s="18"/>
      <c r="W310" s="18"/>
      <c r="X310" s="18"/>
      <c r="Y310" s="18"/>
    </row>
  </sheetData>
  <autoFilter ref="A2:L2"/>
  <dataConsolidate/>
  <mergeCells>
    <mergeCell ref="A301:B301"/>
    <mergeCell ref="A302:B302"/>
    <mergeCell ref="A303:B303"/>
    <mergeCell ref="A304:B304"/>
    <mergeCell ref="A305:L305"/>
  </mergeCells>
  <hyperlinks>
    <hyperlink ref="$A$305:$L$305" location="sheet1Ref" display="Информация о расходах на вкладке Отчет"/>
  </hyperlinks>
  <printOptions horizontalCentered="1" gridLines="1"/>
  <pageMargins left="0.39370078740157483" right="0.39370078740157483" top="0.78740157480314965" bottom="0.78740157480314965" header="0.39370078740157483" footer="0.39370078740157483"/>
  <pageSetup paperSize="9" scale="30" orientation="portrait" errors="blank" r:id="rId1"/>
  <headerFooter>
    <oddHeader>&amp;L&amp;G</oddHeader>
    <oddFooter>&amp;L&amp;D
Цены и тарифы указаны с учетом НДС.
&amp;R Центр поддержки клиентов (круглосуточно):
8 (800) 700-0611, 0611 (для звонков с номеров "Билайн"). 
Для звонков из заграницы +7 495 974-8888 (с телефона «Билайн» бесплатно).
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</vt:i4>
      </vt:variant>
    </vt:vector>
  </HeadingPairs>
  <TitlesOfParts>
    <vt:vector size="14" baseType="lpstr">
      <vt:lpstr>Отчёт</vt:lpstr>
      <vt:lpstr>Детализация</vt:lpstr>
      <vt:lpstr>callDetailsHistoryHeaderLink</vt:lpstr>
      <vt:lpstr>callDetailsTableHeaderRange</vt:lpstr>
      <vt:lpstr>coreAggregatorValueTableHeaderLink</vt:lpstr>
      <vt:lpstr>detailsHistoryTableHeaderRange</vt:lpstr>
      <vt:lpstr>firstSheetLinkRange</vt:lpstr>
      <vt:lpstr>secondSheetLinkRange</vt:lpstr>
      <vt:lpstr>sheet1Ref</vt:lpstr>
      <vt:lpstr>sheet2Ref</vt:lpstr>
      <vt:lpstr>sheetTitleWithDate</vt:lpstr>
      <vt:lpstr>Детализация!Заголовки_для_печати</vt:lpstr>
      <vt:lpstr>Детализация!Область_печати</vt:lpstr>
      <vt:lpstr>Отчёт!Область_печати</vt:lpstr>
    </vt:vector>
  </TitlesOfParts>
  <Company>VIMPELCOM</Company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2014-06-06T11:39:27Z</dcterms:created>
  <dc:creator>Beeline</dc:creator>
  <lastModifiedBy>Сидоркин Артем Андреевич</lastModifiedBy>
  <lastPrinted>2015-02-17T17:18:20Z</lastPrinted>
  <dcterms:modified xsi:type="dcterms:W3CDTF">2015-10-29T12:31:28Z</dcterms:modified>
</coreProperties>
</file>